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DieseArbeitsmappe" hidePivotFieldList="1" defaultThemeVersion="166925"/>
  <mc:AlternateContent xmlns:mc="http://schemas.openxmlformats.org/markup-compatibility/2006">
    <mc:Choice Requires="x15">
      <x15ac:absPath xmlns:x15ac="http://schemas.microsoft.com/office/spreadsheetml/2010/11/ac" url="D:\GitHub\DataFactory-Knowledge-Center\4b. Integration with Excel Reporting\"/>
    </mc:Choice>
  </mc:AlternateContent>
  <bookViews>
    <workbookView xWindow="0" yWindow="0" windowWidth="28800" windowHeight="13500"/>
  </bookViews>
  <sheets>
    <sheet name="Gehalt" sheetId="2" r:id="rId1"/>
  </sheets>
  <definedNames>
    <definedName name="Datenschnitt_ProductLineName">#N/A</definedName>
    <definedName name="_xlnm.Print_Area" localSheetId="0">Gehalt!$B$3:$O$56</definedName>
  </definedNames>
  <calcPr calcId="162913"/>
  <pivotCaches>
    <pivotCache cacheId="4" r:id="rId2"/>
    <pivotCache cacheId="24" r:id="rId3"/>
  </pivotCaches>
  <extLst>
    <ext xmlns:x14="http://schemas.microsoft.com/office/spreadsheetml/2009/9/main" uri="{876F7934-8845-4945-9796-88D515C7AA90}">
      <x14:pivotCaches>
        <pivotCache cacheId="6" r:id="rId4"/>
      </x14:pivotCaches>
    </ex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x_pf_CPImport_43233b31-18cf-4340-9b38-940064464c6c" name="sx_pf_CPImport" connection=". TemplateStore_DE_PROD sx_pf_CPImport1"/>
        </x15:modelTables>
      </x15:dataModel>
    </ext>
  </extLst>
</workbook>
</file>

<file path=xl/calcChain.xml><?xml version="1.0" encoding="utf-8"?>
<calcChain xmlns="http://schemas.openxmlformats.org/spreadsheetml/2006/main">
  <c r="A3" i="2" l="1"/>
  <c r="B3" i="2" l="1"/>
</calcChain>
</file>

<file path=xl/connections.xml><?xml version="1.0" encoding="utf-8"?>
<connections xmlns="http://schemas.openxmlformats.org/spreadsheetml/2006/main">
  <connection id="1" odcFile="C:\Users\admin\Documents\Meine Datenquellen\. TemplateStore_DE_PROD sx_pf_CPImport.odc" keepAlive="1" name=". TemplateStore_DE_PROD sx_pf_CPImport" type="5" refreshedVersion="6" saveData="1">
    <dbPr connection="Provider=SQLOLEDB.1;Integrated Security=SSPI;Persist Security Info=True;Initial Catalog=TemplateStore_DE_PROD;Data Source=.;Use Procedure for Prepare=1;Auto Translate=True;Packet Size=4096;Workstation ID=W10;Use Encryption for Data=False;Tag with column collation when possible=False" command="&quot;TemplateStore_DE_PROD&quot;.&quot;dbo&quot;.&quot;sx_pf_CPImport&quot;" commandType="3"/>
  </connection>
  <connection id="2" odcFile="C:\Users\admin\Documents\Meine Datenquellen\. TemplateStore_DE_PROD sx_pf_CPImport.odc" name=". TemplateStore_DE_PROD sx_pf_CPImport1" type="100" refreshedVersion="6" minRefreshableVersion="5">
    <extLst>
      <ext xmlns:x15="http://schemas.microsoft.com/office/spreadsheetml/2010/11/main" uri="{DE250136-89BD-433C-8126-D09CA5730AF9}">
        <x15:connection id="d5695979-56c4-46df-8d1b-603749ad9de8"/>
      </ext>
    </extLst>
  </connection>
  <connection id="3"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ThisWorkbookDataModel"/>
    <s v="{[sx_pf_CPImport].[FactoryName].&amp;[Personalplanung]}"/>
    <s v="{[sx_pf_CPImport].[Year].&amp;[2017]}"/>
    <s v="[sx_pf_CPImport].[ProductLineName].[All]"/>
  </metadataStrings>
  <mdxMetadata count="3">
    <mdx n="0" f="s">
      <ms ns="1" c="0"/>
    </mdx>
    <mdx n="0" f="s">
      <ms ns="2" c="0"/>
    </mdx>
    <mdx n="0" f="r">
      <t c="1">
        <n x="3"/>
      </t>
    </mdx>
  </mdxMetadata>
  <valueMetadata count="3">
    <bk>
      <rc t="1" v="0"/>
    </bk>
    <bk>
      <rc t="1" v="1"/>
    </bk>
    <bk>
      <rc t="1" v="2"/>
    </bk>
  </valueMetadata>
</metadata>
</file>

<file path=xl/sharedStrings.xml><?xml version="1.0" encoding="utf-8"?>
<sst xmlns="http://schemas.openxmlformats.org/spreadsheetml/2006/main" count="56" uniqueCount="55">
  <si>
    <t>Year</t>
  </si>
  <si>
    <t>Spaltenbeschriftungen</t>
  </si>
  <si>
    <t>Zeilenbeschriftungen</t>
  </si>
  <si>
    <t>Gesamtergebnis</t>
  </si>
  <si>
    <t>Personalplanung</t>
  </si>
  <si>
    <t>Ralf Eisenhauer</t>
  </si>
  <si>
    <t>Tanja Gärtner</t>
  </si>
  <si>
    <t>Mario Shuster</t>
  </si>
  <si>
    <t>Jennifer Fürst</t>
  </si>
  <si>
    <t>Ines Kuster</t>
  </si>
  <si>
    <t>Alexander Gaertner</t>
  </si>
  <si>
    <t>Alexander Gärtner</t>
  </si>
  <si>
    <t>Sabrina Mehler</t>
  </si>
  <si>
    <t>Wolfgang Dreher</t>
  </si>
  <si>
    <t>Simone Klein</t>
  </si>
  <si>
    <t>Maik Jager</t>
  </si>
  <si>
    <t>Christian Schneider</t>
  </si>
  <si>
    <t>Sven Ebersbach</t>
  </si>
  <si>
    <t>Mandy Weber</t>
  </si>
  <si>
    <t>Phillipp Hirsch</t>
  </si>
  <si>
    <t>Jörg Eichmann</t>
  </si>
  <si>
    <t>Stephanie Bürger</t>
  </si>
  <si>
    <t>Sebastian Jung</t>
  </si>
  <si>
    <t>Katrin Baumgaertner</t>
  </si>
  <si>
    <t>Klaus Reinhard</t>
  </si>
  <si>
    <t>Sandra Kaufmann</t>
  </si>
  <si>
    <t>Vanessa Schroder</t>
  </si>
  <si>
    <t>Uta Maur</t>
  </si>
  <si>
    <t>Marcel Kortig</t>
  </si>
  <si>
    <t>Thorsten Vogel</t>
  </si>
  <si>
    <t>Kristian Biermann</t>
  </si>
  <si>
    <t>Tom Bosch</t>
  </si>
  <si>
    <t>Maik Walter</t>
  </si>
  <si>
    <t>Philipp Mehler</t>
  </si>
  <si>
    <t>Diana Kuhn</t>
  </si>
  <si>
    <t>Jörg Fisher</t>
  </si>
  <si>
    <t>Dirk Zimmerman</t>
  </si>
  <si>
    <t>Jörg Schuhmacher</t>
  </si>
  <si>
    <t>Mathias Unger</t>
  </si>
  <si>
    <t>Mario Amsel</t>
  </si>
  <si>
    <t>Paul Eberhardt</t>
  </si>
  <si>
    <t>Katrin Baier</t>
  </si>
  <si>
    <t>Jennifer Jung</t>
  </si>
  <si>
    <t>Kerstin Schröder</t>
  </si>
  <si>
    <t>Patrick Löwe</t>
  </si>
  <si>
    <t>Mike Kaufmann</t>
  </si>
  <si>
    <t>Erik Weissmuller</t>
  </si>
  <si>
    <t>Geschäftsleitung</t>
  </si>
  <si>
    <t>Entwicklung</t>
  </si>
  <si>
    <t>Consulting</t>
  </si>
  <si>
    <t>Vertrieb</t>
  </si>
  <si>
    <t>Rechnungswesen</t>
  </si>
  <si>
    <t>Summe von Value</t>
  </si>
  <si>
    <t>FactoryName</t>
  </si>
  <si>
    <t>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</si>
</sst>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b/>
      <sz val="14"/>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3" fontId="0" fillId="0" borderId="0" xfId="0" applyNumberFormat="1"/>
    <xf numFmtId="0" fontId="1" fillId="0" borderId="0" xfId="0" applyFont="1"/>
    <xf numFmtId="0" fontId="0" fillId="0" borderId="0" xfId="0" applyAlignment="1">
      <alignment horizontal="center"/>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A3" s="2"/>
        <tr r="A3" s="2"/>
      </tp>
    </main>
  </volType>
</volType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volatileDependencies" Target="volatileDependencies.xml"/><Relationship Id="rId3" Type="http://schemas.openxmlformats.org/officeDocument/2006/relationships/pivotCacheDefinition" Target="pivotCache/pivotCacheDefinition2.xml"/><Relationship Id="rId7" Type="http://schemas.openxmlformats.org/officeDocument/2006/relationships/connections" Target="connections.xml"/><Relationship Id="rId12" Type="http://schemas.openxmlformats.org/officeDocument/2006/relationships/calcChain" Target="calcChain.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5" Type="http://schemas.microsoft.com/office/2007/relationships/slicerCache" Target="slicerCaches/slicerCache1.xml"/><Relationship Id="rId10" Type="http://schemas.openxmlformats.org/officeDocument/2006/relationships/sheetMetadata" Target="metadata.xml"/><Relationship Id="rId4" Type="http://schemas.openxmlformats.org/officeDocument/2006/relationships/pivotCacheDefinition" Target="pivotCache/pivotCacheDefinition3.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171450</xdr:colOff>
      <xdr:row>4</xdr:row>
      <xdr:rowOff>9525</xdr:rowOff>
    </xdr:from>
    <xdr:to>
      <xdr:col>0</xdr:col>
      <xdr:colOff>2000250</xdr:colOff>
      <xdr:row>17</xdr:row>
      <xdr:rowOff>57150</xdr:rowOff>
    </xdr:to>
    <mc:AlternateContent xmlns:mc="http://schemas.openxmlformats.org/markup-compatibility/2006" xmlns:a14="http://schemas.microsoft.com/office/drawing/2010/main">
      <mc:Choice Requires="a14">
        <xdr:graphicFrame macro="">
          <xdr:nvGraphicFramePr>
            <xdr:cNvPr id="2" name="ProductLineName">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ProductLineName"/>
            </a:graphicData>
          </a:graphic>
        </xdr:graphicFrame>
      </mc:Choice>
      <mc:Fallback xmlns="">
        <xdr:sp macro="" textlink="">
          <xdr:nvSpPr>
            <xdr:cNvPr id="0" name=""/>
            <xdr:cNvSpPr>
              <a:spLocks noTextEdit="1"/>
            </xdr:cNvSpPr>
          </xdr:nvSpPr>
          <xdr:spPr>
            <a:xfrm>
              <a:off x="171450" y="8191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114300</xdr:colOff>
          <xdr:row>0</xdr:row>
          <xdr:rowOff>57150</xdr:rowOff>
        </xdr:from>
        <xdr:to>
          <xdr:col>0</xdr:col>
          <xdr:colOff>2390775</xdr:colOff>
          <xdr:row>1</xdr:row>
          <xdr:rowOff>114300</xdr:rowOff>
        </xdr:to>
        <xdr:sp macro="" textlink="">
          <xdr:nvSpPr>
            <xdr:cNvPr id="2050" name="Schaltfläche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Alle als pdf exportieren</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invalid="1" saveData="0" refreshedBy="admin" refreshedDate="43002.774803587963" backgroundQuery="1" createdVersion="3" refreshedVersion="6" minRefreshableVersion="3" recordCount="0" tupleCache="1" supportSubquery="1" supportAdvancedDrill="1">
  <cacheSource type="external" connectionId="3"/>
  <cacheFields count="1">
    <cacheField name="[sx_pf_CPImport].[ProductLineName].[ProductLineName]" caption="ProductLineName" numFmtId="0" hierarchy="6" level="1">
      <sharedItems count="8">
        <s v="[sx_pf_CPImport].[ProductLineName].&amp;[Consulting]" c="Consulting"/>
        <s v="[sx_pf_CPImport].[ProductLineName].&amp;[Entwicklung]" c="Entwicklung"/>
        <s v="[sx_pf_CPImport].[ProductLineName].&amp;[Geschäftsleitung]" c="Geschäftsleitung"/>
        <s v="[sx_pf_CPImport].[ProductLineName].&amp;[Rechnungswesen]" c="Rechnungswesen"/>
        <s v="[sx_pf_CPImport].[ProductLineName].&amp;[Vertrieb]" c="Vertrieb"/>
        <s v="[sx_pf_CPImport].[ProductLineName].&amp;[Annuitätendarlehen]" c="Annuitätendarlehen"/>
        <s v="[sx_pf_CPImport].[ProductLineName].&amp;[Beratung]" c="Beratung"/>
        <s v="[sx_pf_CPImport].[ProductLineName].&amp;[Betriebskosten]" c="Betriebskosten"/>
      </sharedItems>
    </cacheField>
  </cacheFields>
  <cacheHierarchies count="38">
    <cacheHierarchy uniqueName="[Measures]" caption="Measures" attribute="1" keyAttribute="1" defaultMemberUniqueName="[Measures].[__No measures defined]" dimensionUniqueName="[Measures]" displayFolder="" measures="1" count="1" memberValueDatatype="130" unbalanced="0"/>
    <cacheHierarchy uniqueName="[sx_pf_CPImport].[ValueSeriesID]" caption="ValueSeriesID" attribute="1" defaultMemberUniqueName="[sx_pf_CPImport].[ValueSeriesID].[All]" allUniqueName="[sx_pf_CPImport].[ValueSeriesID].[All]" dimensionUniqueName="[sx_pf_CPImport]" displayFolder="" count="2" memberValueDatatype="130" unbalanced="0"/>
    <cacheHierarchy uniqueName="[sx_pf_CPImport].[ValueSeriesName]" caption="ValueSeriesName" attribute="1" defaultMemberUniqueName="[sx_pf_CPImport].[ValueSeriesName].[All]" allUniqueName="[sx_pf_CPImport].[ValueSeriesName].[All]" dimensionUniqueName="[sx_pf_CPImport]" displayFolder="" count="2" memberValueDatatype="130" unbalanced="0"/>
    <cacheHierarchy uniqueName="[sx_pf_CPImport].[ProductID]" caption="ProductID" attribute="1" defaultMemberUniqueName="[sx_pf_CPImport].[ProductID].[All]" allUniqueName="[sx_pf_CPImport].[ProductID].[All]" dimensionUniqueName="[sx_pf_CPImport]" displayFolder="" count="2" memberValueDatatype="130" unbalanced="0"/>
    <cacheHierarchy uniqueName="[sx_pf_CPImport].[ProductName]" caption="ProductName" attribute="1" defaultMemberUniqueName="[sx_pf_CPImport].[ProductName].[All]" allUniqueName="[sx_pf_CPImport].[ProductName].[All]" dimensionUniqueName="[sx_pf_CPImport]" displayFolder="" count="2" memberValueDatatype="130" unbalanced="0"/>
    <cacheHierarchy uniqueName="[sx_pf_CPImport].[ProductLineID]" caption="ProductLineID" attribute="1" defaultMemberUniqueName="[sx_pf_CPImport].[ProductLineID].[All]" allUniqueName="[sx_pf_CPImport].[ProductLineID].[All]" dimensionUniqueName="[sx_pf_CPImport]" displayFolder="" count="2" memberValueDatatype="130" unbalanced="0"/>
    <cacheHierarchy uniqueName="[sx_pf_CPImport].[ProductLineName]" caption="ProductLineName" attribute="1" defaultMemberUniqueName="[sx_pf_CPImport].[ProductLineName].[All]" allUniqueName="[sx_pf_CPImport].[ProductLineName].[All]" allCaption="All" dimensionUniqueName="[sx_pf_CPImport]" displayFolder="" count="2" memberValueDatatype="130" unbalanced="0">
      <fieldsUsage count="2">
        <fieldUsage x="-1"/>
        <fieldUsage x="0"/>
      </fieldsUsage>
    </cacheHierarchy>
    <cacheHierarchy uniqueName="[sx_pf_CPImport].[FactoryID]" caption="FactoryID" attribute="1" defaultMemberUniqueName="[sx_pf_CPImport].[FactoryID].[All]" allUniqueName="[sx_pf_CPImport].[FactoryID].[All]" dimensionUniqueName="[sx_pf_CPImport]" displayFolder="" count="2" memberValueDatatype="130" unbalanced="0"/>
    <cacheHierarchy uniqueName="[sx_pf_CPImport].[FactoryName]" caption="FactoryName" attribute="1" defaultMemberUniqueName="[sx_pf_CPImport].[FactoryName].[All]" allUniqueName="[sx_pf_CPImport].[FactoryName].[All]" dimensionUniqueName="[sx_pf_CPImport]" displayFolder="" count="2" memberValueDatatype="130" unbalanced="0"/>
    <cacheHierarchy uniqueName="[sx_pf_CPImport].[TimeID]" caption="TimeID" attribute="1" defaultMemberUniqueName="[sx_pf_CPImport].[TimeID].[All]" allUniqueName="[sx_pf_CPImport].[TimeID].[All]" dimensionUniqueName="[sx_pf_CPImport]" displayFolder="" count="2" memberValueDatatype="20" unbalanced="0"/>
    <cacheHierarchy uniqueName="[sx_pf_CPImport].[Year]" caption="Year" attribute="1" defaultMemberUniqueName="[sx_pf_CPImport].[Year].[All]" allUniqueName="[sx_pf_CPImport].[Year].[All]" dimensionUniqueName="[sx_pf_CPImport]" displayFolder="" count="2" memberValueDatatype="20" unbalanced="0"/>
    <cacheHierarchy uniqueName="[sx_pf_CPImport].[Month]" caption="Month" attribute="1" defaultMemberUniqueName="[sx_pf_CPImport].[Month].[All]" allUniqueName="[sx_pf_CPImport].[Month].[All]" dimensionUniqueName="[sx_pf_CPImport]" displayFolder="" count="2" memberValueDatatype="20" unbalanced="0"/>
    <cacheHierarchy uniqueName="[sx_pf_CPImport].[Date]" caption="Date" attribute="1" time="1" defaultMemberUniqueName="[sx_pf_CPImport].[Date].[All]" allUniqueName="[sx_pf_CPImport].[Date].[All]" dimensionUniqueName="[sx_pf_CPImport]" displayFolder="" count="2" memberValueDatatype="7" unbalanced="0"/>
    <cacheHierarchy uniqueName="[sx_pf_CPImport].[FResponsiblePerson]" caption="FResponsiblePerson" attribute="1" defaultMemberUniqueName="[sx_pf_CPImport].[FResponsiblePerson].[All]" allUniqueName="[sx_pf_CPImport].[FResponsiblePerson].[All]" dimensionUniqueName="[sx_pf_CPImport]" displayFolder="" count="2" memberValueDatatype="130" unbalanced="0"/>
    <cacheHierarchy uniqueName="[sx_pf_CPImport].[PLResponsiblePerson]" caption="PLResponsiblePerson" attribute="1" defaultMemberUniqueName="[sx_pf_CPImport].[PLResponsiblePerson].[All]" allUniqueName="[sx_pf_CPImport].[PLResponsiblePerson].[All]" dimensionUniqueName="[sx_pf_CPImport]" displayFolder="" count="2" memberValueDatatype="130" unbalanced="0"/>
    <cacheHierarchy uniqueName="[sx_pf_CPImport].[ResponsiblePerson]" caption="ResponsiblePerson" attribute="1" defaultMemberUniqueName="[sx_pf_CPImport].[ResponsiblePerson].[All]" allUniqueName="[sx_pf_CPImport].[ResponsiblePerson].[All]" dimensionUniqueName="[sx_pf_CPImport]" displayFolder="" count="2" memberValueDatatype="130" unbalanced="0"/>
    <cacheHierarchy uniqueName="[sx_pf_CPImport].[Status]" caption="Status" attribute="1" defaultMemberUniqueName="[sx_pf_CPImport].[Status].[All]" allUniqueName="[sx_pf_CPImport].[Status].[All]" dimensionUniqueName="[sx_pf_CPImport]" displayFolder="" count="2" memberValueDatatype="130" unbalanced="0"/>
    <cacheHierarchy uniqueName="[sx_pf_CPImport].[GlobalAttribute1]" caption="GlobalAttribute1" attribute="1" defaultMemberUniqueName="[sx_pf_CPImport].[GlobalAttribute1].[All]" allUniqueName="[sx_pf_CPImport].[GlobalAttribute1].[All]" dimensionUniqueName="[sx_pf_CPImport]" displayFolder="" count="2" memberValueDatatype="130" unbalanced="0"/>
    <cacheHierarchy uniqueName="[sx_pf_CPImport].[GlobalAttribute2]" caption="GlobalAttribute2" attribute="1" defaultMemberUniqueName="[sx_pf_CPImport].[GlobalAttribute2].[All]" allUniqueName="[sx_pf_CPImport].[GlobalAttribute2].[All]" dimensionUniqueName="[sx_pf_CPImport]" displayFolder="" count="2" memberValueDatatype="130" unbalanced="0"/>
    <cacheHierarchy uniqueName="[sx_pf_CPImport].[Value]" caption="Value" attribute="1" defaultMemberUniqueName="[sx_pf_CPImport].[Value].[All]" allUniqueName="[sx_pf_CPImport].[Value].[All]" dimensionUniqueName="[sx_pf_CPImport]" displayFolder="" count="2" memberValueDatatype="6" unbalanced="0"/>
    <cacheHierarchy uniqueName="[sx_pf_CPImport].[GlobalAttribute3]" caption="GlobalAttribute3" attribute="1" defaultMemberUniqueName="[sx_pf_CPImport].[GlobalAttribute3].[All]" allUniqueName="[sx_pf_CPImport].[GlobalAttribute3].[All]" dimensionUniqueName="[sx_pf_CPImport]" displayFolder="" count="2" memberValueDatatype="130" unbalanced="0"/>
    <cacheHierarchy uniqueName="[sx_pf_CPImport].[GlobalAttribute4]" caption="GlobalAttribute4" attribute="1" defaultMemberUniqueName="[sx_pf_CPImport].[GlobalAttribute4].[All]" allUniqueName="[sx_pf_CPImport].[GlobalAttribute4].[All]" dimensionUniqueName="[sx_pf_CPImport]" displayFolder="" count="2" memberValueDatatype="130" unbalanced="0"/>
    <cacheHierarchy uniqueName="[sx_pf_CPImport].[GlobalAttribute5]" caption="GlobalAttribute5" attribute="1" defaultMemberUniqueName="[sx_pf_CPImport].[GlobalAttribute5].[All]" allUniqueName="[sx_pf_CPImport].[GlobalAttribute5].[All]" dimensionUniqueName="[sx_pf_CPImport]" displayFolder="" count="2" memberValueDatatype="130" unbalanced="0"/>
    <cacheHierarchy uniqueName="[sx_pf_CPImport].[GlobalAttribute6]" caption="GlobalAttribute6" attribute="1" defaultMemberUniqueName="[sx_pf_CPImport].[GlobalAttribute6].[All]" allUniqueName="[sx_pf_CPImport].[GlobalAttribute6].[All]" dimensionUniqueName="[sx_pf_CPImport]" displayFolder="" count="2" memberValueDatatype="130" unbalanced="0"/>
    <cacheHierarchy uniqueName="[sx_pf_CPImport].[GlobalAttribute7]" caption="GlobalAttribute7" attribute="1" defaultMemberUniqueName="[sx_pf_CPImport].[GlobalAttribute7].[All]" allUniqueName="[sx_pf_CPImport].[GlobalAttribute7].[All]" dimensionUniqueName="[sx_pf_CPImport]" displayFolder="" count="2" memberValueDatatype="130" unbalanced="0"/>
    <cacheHierarchy uniqueName="[sx_pf_CPImport].[GlobalAttribute8]" caption="GlobalAttribute8" attribute="1" defaultMemberUniqueName="[sx_pf_CPImport].[GlobalAttribute8].[All]" allUniqueName="[sx_pf_CPImport].[GlobalAttribute8].[All]" dimensionUniqueName="[sx_pf_CPImport]" displayFolder="" count="2" memberValueDatatype="130" unbalanced="0"/>
    <cacheHierarchy uniqueName="[sx_pf_CPImport].[GlobalAttribute9]" caption="GlobalAttribute9" attribute="1" defaultMemberUniqueName="[sx_pf_CPImport].[GlobalAttribute9].[All]" allUniqueName="[sx_pf_CPImport].[GlobalAttribute9].[All]" dimensionUniqueName="[sx_pf_CPImport]" displayFolder="" count="2" memberValueDatatype="130" unbalanced="0"/>
    <cacheHierarchy uniqueName="[sx_pf_CPImport].[GlobalAttribute10]" caption="GlobalAttribute10" attribute="1" defaultMemberUniqueName="[sx_pf_CPImport].[GlobalAttribute10].[All]" allUniqueName="[sx_pf_CPImport].[GlobalAttribute10].[All]" dimensionUniqueName="[sx_pf_CPImport]" displayFolder="" count="2" memberValueDatatype="130" unbalanced="0"/>
    <cacheHierarchy uniqueName="[sx_pf_CPImport].[ValueSeriesNo]" caption="ValueSeriesNo" attribute="1" defaultMemberUniqueName="[sx_pf_CPImport].[ValueSeriesNo].[All]" allUniqueName="[sx_pf_CPImport].[ValueSeriesNo].[All]" dimensionUniqueName="[sx_pf_CPImport]" displayFolder="" count="2" memberValueDatatype="20" unbalanced="0"/>
    <cacheHierarchy uniqueName="[sx_pf_CPImport].[VisibilityLevel]" caption="VisibilityLevel" attribute="1" defaultMemberUniqueName="[sx_pf_CPImport].[VisibilityLevel].[All]" allUniqueName="[sx_pf_CPImport].[VisibilityLevel].[All]" dimensionUniqueName="[sx_pf_CPImport]" displayFolder="" count="2" memberValueDatatype="20" unbalanced="0"/>
    <cacheHierarchy uniqueName="[sx_pf_CPImport].[ValueSource]" caption="ValueSource" attribute="1" defaultMemberUniqueName="[sx_pf_CPImport].[ValueSource].[All]" allUniqueName="[sx_pf_CPImport].[ValueSource].[All]" dimensionUniqueName="[sx_pf_CPImport]" displayFolder="" count="2" memberValueDatatype="130" unbalanced="0"/>
    <cacheHierarchy uniqueName="[sx_pf_CPImport].[Unit]" caption="Unit" attribute="1" defaultMemberUniqueName="[sx_pf_CPImport].[Unit].[All]" allUniqueName="[sx_pf_CPImport].[Unit].[All]" dimensionUniqueName="[sx_pf_CPImport]" displayFolder="" count="2" memberValueDatatype="130" unbalanced="0"/>
    <cacheHierarchy uniqueName="[sx_pf_CPImport].[Effect]" caption="Effect" attribute="1" defaultMemberUniqueName="[sx_pf_CPImport].[Effect].[All]" allUniqueName="[sx_pf_CPImport].[Effect].[All]" dimensionUniqueName="[sx_pf_CPImport]" displayFolder="" count="2" memberValueDatatype="130" unbalanced="0"/>
    <cacheHierarchy uniqueName="[sx_pf_CPImport].[EffectParameter]" caption="EffectParameter" attribute="1" defaultMemberUniqueName="[sx_pf_CPImport].[EffectParameter].[All]" allUniqueName="[sx_pf_CPImport].[EffectParameter].[All]" dimensionUniqueName="[sx_pf_CPImport]" displayFolder="" count="2" memberValueDatatype="130" unbalanced="0"/>
    <cacheHierarchy uniqueName="[Measures].[__XL_Count sx_pf_CPImport]" caption="__XL_Count sx_pf_CPImport" measure="1" displayFolder="" measureGroup="sx_pf_CPImport" count="0" hidden="1"/>
    <cacheHierarchy uniqueName="[Measures].[__No measures defined]" caption="__No measures defined" measure="1" displayFolder="" count="0" hidden="1"/>
    <cacheHierarchy uniqueName="[Measures].[Summe von Month]" caption="Summe von Month" measure="1" displayFolder="" measureGroup="sx_pf_CPImport" count="0" hidden="1">
      <extLst>
        <ext xmlns:x15="http://schemas.microsoft.com/office/spreadsheetml/2010/11/main" uri="{B97F6D7D-B522-45F9-BDA1-12C45D357490}">
          <x15:cacheHierarchy aggregatedColumn="11"/>
        </ext>
      </extLst>
    </cacheHierarchy>
    <cacheHierarchy uniqueName="[Measures].[Summe von Value]" caption="Summe von Value" measure="1" displayFolder="" measureGroup="sx_pf_CPImport" count="0" hidden="1">
      <extLst>
        <ext xmlns:x15="http://schemas.microsoft.com/office/spreadsheetml/2010/11/main" uri="{B97F6D7D-B522-45F9-BDA1-12C45D357490}">
          <x15:cacheHierarchy aggregatedColumn="19"/>
        </ext>
      </extLst>
    </cacheHierarchy>
  </cacheHierarchies>
  <kpis count="0"/>
  <tupleCache>
    <sets count="10">
      <set count="1" maxRank="1" setDefinition="{[sx_pf_CPImport].[ProductLineName].&amp;[Consulting]}">
        <tpls c="1">
          <tpl fld="0" item="0"/>
        </tpls>
      </set>
      <set count="1" maxRank="1" setDefinition="{[sx_pf_CPImport].[ProductLineName].[All]}">
        <tpls c="1">
          <tpl hier="6" item="4294967295"/>
        </tpls>
      </set>
      <set count="1" maxRank="1" setDefinition="{[sx_pf_CPImport].[ProductLineName].&amp;[Entwicklung]}">
        <tpls c="1">
          <tpl fld="0" item="1"/>
        </tpls>
      </set>
      <set count="1" maxRank="1" setDefinition="{[sx_pf_CPImport].[ProductLineName].&amp;[Geschäftsleitung]}">
        <tpls c="1">
          <tpl fld="0" item="2"/>
        </tpls>
      </set>
      <set count="1" maxRank="1" setDefinition="{[sx_pf_CPImport].[ProductLineName].&amp;[Rechnungswesen]}">
        <tpls c="1">
          <tpl fld="0" item="3"/>
        </tpls>
      </set>
      <set count="1" maxRank="1" setDefinition="{[sx_pf_CPImport].[ProductLineName].&amp;[Vertrieb]}">
        <tpls c="1">
          <tpl fld="0" item="4"/>
        </tpls>
      </set>
      <set count="1" maxRank="1" setDefinition="{[sx_pf_CPImport].[ProductLineName].&amp;[Annuitätendarlehen]}">
        <tpls c="1">
          <tpl fld="0" item="5"/>
        </tpls>
      </set>
      <set count="1" maxRank="1" setDefinition="{[sx_pf_CPImport].[ProductLineName].&amp;[Beratung]}">
        <tpls c="1">
          <tpl fld="0" item="6"/>
        </tpls>
      </set>
      <set count="1" maxRank="1" setDefinition="{[sx_pf_CPImport].[ProductLineName].&amp;[Betriebskosten]}">
        <tpls c="1">
          <tpl fld="0" item="7"/>
        </tpls>
      </set>
      <set count="2" maxRank="1" setDefinition="{[sx_pf_CPImport].[ProductLineName].&amp;[Consulting],[sx_pf_CPImport].[ProductLineName].&amp;[Entwicklung]}">
        <tpls c="1">
          <tpl fld="0" item="0"/>
        </tpls>
      </set>
    </se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admin" refreshedDate="43020.441319328704" backgroundQuery="1" createdVersion="6" refreshedVersion="6" minRefreshableVersion="3" recordCount="0" supportSubquery="1" supportAdvancedDrill="1">
  <cacheSource type="external" connectionId="3"/>
  <cacheFields count="6">
    <cacheField name="[sx_pf_CPImport].[Year].[Year]" caption="Year" numFmtId="0" hierarchy="9" level="1">
      <sharedItems containsSemiMixedTypes="0" containsNonDate="0" containsString="0"/>
    </cacheField>
    <cacheField name="[sx_pf_CPImport].[Month].[Month]" caption="Month" numFmtId="0" hierarchy="10"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CPImport].[Month].&amp;[1]"/>
            <x15:cachedUniqueName index="1" name="[sx_pf_CPImport].[Month].&amp;[2]"/>
            <x15:cachedUniqueName index="2" name="[sx_pf_CPImport].[Month].&amp;[3]"/>
            <x15:cachedUniqueName index="3" name="[sx_pf_CPImport].[Month].&amp;[4]"/>
            <x15:cachedUniqueName index="4" name="[sx_pf_CPImport].[Month].&amp;[5]"/>
            <x15:cachedUniqueName index="5" name="[sx_pf_CPImport].[Month].&amp;[6]"/>
            <x15:cachedUniqueName index="6" name="[sx_pf_CPImport].[Month].&amp;[7]"/>
            <x15:cachedUniqueName index="7" name="[sx_pf_CPImport].[Month].&amp;[8]"/>
            <x15:cachedUniqueName index="8" name="[sx_pf_CPImport].[Month].&amp;[9]"/>
            <x15:cachedUniqueName index="9" name="[sx_pf_CPImport].[Month].&amp;[10]"/>
            <x15:cachedUniqueName index="10" name="[sx_pf_CPImport].[Month].&amp;[11]"/>
            <x15:cachedUniqueName index="11" name="[sx_pf_CPImport].[Month].&amp;[12]"/>
          </x15:cachedUniqueNames>
        </ext>
      </extLst>
    </cacheField>
    <cacheField name="[Measures].[Summe von Value]" caption="Summe von Value" numFmtId="0" hierarchy="36" level="32767"/>
    <cacheField name="[sx_pf_CPImport].[ProductLineName].[ProductLineName]" caption="ProductLineName" numFmtId="0" hierarchy="5" level="1">
      <sharedItems count="5">
        <s v="Consulting"/>
        <s v="Entwicklung"/>
        <s v="Geschäftsleitung"/>
        <s v="Rechnungswesen"/>
        <s v="Vertrieb"/>
      </sharedItems>
    </cacheField>
    <cacheField name="[sx_pf_CPImport].[FactoryName].[FactoryName]" caption="FactoryName" numFmtId="0" hierarchy="7" level="1">
      <sharedItems containsSemiMixedTypes="0" containsNonDate="0" containsString="0"/>
    </cacheField>
    <cacheField name="[sx_pf_CPImport].[ProductName].[ProductName]" caption="ProductName" numFmtId="0" hierarchy="3" level="1">
      <sharedItems count="42">
        <s v="Katrin Baumgaertner"/>
        <s v="Klaus Reinhard"/>
        <s v="Kristian Biermann"/>
        <s v="Maik Walter"/>
        <s v="Marcel Kortig"/>
        <s v="Sandra Kaufmann"/>
        <s v="Sebastian Jung"/>
        <s v="Thorsten Vogel"/>
        <s v="Tom Bosch"/>
        <s v="Uta Maur"/>
        <s v="Vanessa Schroder"/>
        <s v="Alexander Gärtner"/>
        <s v="Christian Schneider"/>
        <s v="Jörg Eichmann"/>
        <s v="Maik Jager"/>
        <s v="Mandy Weber"/>
        <s v="Phillipp Hirsch"/>
        <s v="Sabrina Mehler"/>
        <s v="Simone Klein"/>
        <s v="Stephanie Bürger"/>
        <s v="Sven Ebersbach"/>
        <s v="Wolfgang Dreher"/>
        <s v="Alexander Gaertner"/>
        <s v="Ines Kuster"/>
        <s v="Jennifer Fürst"/>
        <s v="Mario Shuster"/>
        <s v="Ralf Eisenhauer"/>
        <s v="Tanja Gärtner"/>
        <s v="Erik Weissmuller"/>
        <s v="Mike Kaufmann"/>
        <s v="Patrick Löwe"/>
        <s v="Diana Kuhn"/>
        <s v="Dirk Zimmerman"/>
        <s v="Jennifer Jung"/>
        <s v="Jörg Fisher"/>
        <s v="Jörg Schuhmacher"/>
        <s v="Katrin Baier"/>
        <s v="Kerstin Schröder"/>
        <s v="Mario Amsel"/>
        <s v="Mathias Unger"/>
        <s v="Paul Eberhardt"/>
        <s v="Philipp Mehler"/>
      </sharedItems>
    </cacheField>
  </cacheFields>
  <cacheHierarchies count="37">
    <cacheHierarchy uniqueName="[sx_pf_CPImport].[ValueSeriesID]" caption="ValueSeriesID" attribute="1" defaultMemberUniqueName="[sx_pf_CPImport].[ValueSeriesID].[All]" allUniqueName="[sx_pf_CPImport].[ValueSeriesID].[All]" dimensionUniqueName="[sx_pf_CPImport]" displayFolder="" count="2" memberValueDatatype="130" unbalanced="0"/>
    <cacheHierarchy uniqueName="[sx_pf_CPImport].[ValueSeriesName]" caption="ValueSeriesName" attribute="1" defaultMemberUniqueName="[sx_pf_CPImport].[ValueSeriesName].[All]" allUniqueName="[sx_pf_CPImport].[ValueSeriesName].[All]" dimensionUniqueName="[sx_pf_CPImport]" displayFolder="" count="2" memberValueDatatype="130" unbalanced="0"/>
    <cacheHierarchy uniqueName="[sx_pf_CPImport].[ProductID]" caption="ProductID" attribute="1" defaultMemberUniqueName="[sx_pf_CPImport].[ProductID].[All]" allUniqueName="[sx_pf_CPImport].[ProductID].[All]" dimensionUniqueName="[sx_pf_CPImport]" displayFolder="" count="2" memberValueDatatype="130" unbalanced="0"/>
    <cacheHierarchy uniqueName="[sx_pf_CPImport].[ProductName]" caption="ProductName" attribute="1" defaultMemberUniqueName="[sx_pf_CPImport].[ProductName].[All]" allUniqueName="[sx_pf_CPImport].[ProductName].[All]" dimensionUniqueName="[sx_pf_CPImport]" displayFolder="" count="2" memberValueDatatype="130" unbalanced="0">
      <fieldsUsage count="2">
        <fieldUsage x="-1"/>
        <fieldUsage x="5"/>
      </fieldsUsage>
    </cacheHierarchy>
    <cacheHierarchy uniqueName="[sx_pf_CPImport].[ProductLineID]" caption="ProductLineID" attribute="1" defaultMemberUniqueName="[sx_pf_CPImport].[ProductLineID].[All]" allUniqueName="[sx_pf_CPImport].[ProductLineID].[All]" dimensionUniqueName="[sx_pf_CPImport]" displayFolder="" count="2" memberValueDatatype="130" unbalanced="0"/>
    <cacheHierarchy uniqueName="[sx_pf_CPImport].[ProductLineName]" caption="ProductLineName" attribute="1" defaultMemberUniqueName="[sx_pf_CPImport].[ProductLineName].[All]" allUniqueName="[sx_pf_CPImport].[ProductLineName].[All]" dimensionUniqueName="[sx_pf_CPImport]" displayFolder="" count="2" memberValueDatatype="130" unbalanced="0">
      <fieldsUsage count="2">
        <fieldUsage x="-1"/>
        <fieldUsage x="3"/>
      </fieldsUsage>
    </cacheHierarchy>
    <cacheHierarchy uniqueName="[sx_pf_CPImport].[FactoryID]" caption="FactoryID" attribute="1" defaultMemberUniqueName="[sx_pf_CPImport].[FactoryID].[All]" allUniqueName="[sx_pf_CPImport].[FactoryID].[All]" dimensionUniqueName="[sx_pf_CPImport]" displayFolder="" count="2" memberValueDatatype="130" unbalanced="0"/>
    <cacheHierarchy uniqueName="[sx_pf_CPImport].[FactoryName]" caption="FactoryName" attribute="1" defaultMemberUniqueName="[sx_pf_CPImport].[FactoryName].[All]" allUniqueName="[sx_pf_CPImport].[FactoryName].[All]" dimensionUniqueName="[sx_pf_CPImport]" displayFolder="" count="2" memberValueDatatype="130" unbalanced="0">
      <fieldsUsage count="2">
        <fieldUsage x="-1"/>
        <fieldUsage x="4"/>
      </fieldsUsage>
    </cacheHierarchy>
    <cacheHierarchy uniqueName="[sx_pf_CPImport].[TimeID]" caption="TimeID" attribute="1" defaultMemberUniqueName="[sx_pf_CPImport].[TimeID].[All]" allUniqueName="[sx_pf_CPImport].[TimeID].[All]" dimensionUniqueName="[sx_pf_CPImport]" displayFolder="" count="2" memberValueDatatype="20" unbalanced="0"/>
    <cacheHierarchy uniqueName="[sx_pf_CPImport].[Year]" caption="Year" attribute="1" defaultMemberUniqueName="[sx_pf_CPImport].[Year].[All]" allUniqueName="[sx_pf_CPImport].[Year].[All]" dimensionUniqueName="[sx_pf_CPImport]" displayFolder="" count="2" memberValueDatatype="20" unbalanced="0">
      <fieldsUsage count="2">
        <fieldUsage x="-1"/>
        <fieldUsage x="0"/>
      </fieldsUsage>
    </cacheHierarchy>
    <cacheHierarchy uniqueName="[sx_pf_CPImport].[Month]" caption="Month" attribute="1" defaultMemberUniqueName="[sx_pf_CPImport].[Month].[All]" allUniqueName="[sx_pf_CPImport].[Month].[All]" dimensionUniqueName="[sx_pf_CPImport]" displayFolder="" count="2" memberValueDatatype="20" unbalanced="0">
      <fieldsUsage count="2">
        <fieldUsage x="-1"/>
        <fieldUsage x="1"/>
      </fieldsUsage>
    </cacheHierarchy>
    <cacheHierarchy uniqueName="[sx_pf_CPImport].[Date]" caption="Date" attribute="1" time="1" defaultMemberUniqueName="[sx_pf_CPImport].[Date].[All]" allUniqueName="[sx_pf_CPImport].[Date].[All]" dimensionUniqueName="[sx_pf_CPImport]" displayFolder="" count="2" memberValueDatatype="7" unbalanced="0"/>
    <cacheHierarchy uniqueName="[sx_pf_CPImport].[FResponsiblePerson]" caption="FResponsiblePerson" attribute="1" defaultMemberUniqueName="[sx_pf_CPImport].[FResponsiblePerson].[All]" allUniqueName="[sx_pf_CPImport].[FResponsiblePerson].[All]" dimensionUniqueName="[sx_pf_CPImport]" displayFolder="" count="2" memberValueDatatype="130" unbalanced="0"/>
    <cacheHierarchy uniqueName="[sx_pf_CPImport].[PLResponsiblePerson]" caption="PLResponsiblePerson" attribute="1" defaultMemberUniqueName="[sx_pf_CPImport].[PLResponsiblePerson].[All]" allUniqueName="[sx_pf_CPImport].[PLResponsiblePerson].[All]" dimensionUniqueName="[sx_pf_CPImport]" displayFolder="" count="2" memberValueDatatype="130" unbalanced="0"/>
    <cacheHierarchy uniqueName="[sx_pf_CPImport].[ResponsiblePerson]" caption="ResponsiblePerson" attribute="1" defaultMemberUniqueName="[sx_pf_CPImport].[ResponsiblePerson].[All]" allUniqueName="[sx_pf_CPImport].[ResponsiblePerson].[All]" dimensionUniqueName="[sx_pf_CPImport]" displayFolder="" count="2" memberValueDatatype="130" unbalanced="0"/>
    <cacheHierarchy uniqueName="[sx_pf_CPImport].[Status]" caption="Status" attribute="1" defaultMemberUniqueName="[sx_pf_CPImport].[Status].[All]" allUniqueName="[sx_pf_CPImport].[Status].[All]" dimensionUniqueName="[sx_pf_CPImport]" displayFolder="" count="2" memberValueDatatype="130" unbalanced="0"/>
    <cacheHierarchy uniqueName="[sx_pf_CPImport].[GlobalAttribute1]" caption="GlobalAttribute1" attribute="1" defaultMemberUniqueName="[sx_pf_CPImport].[GlobalAttribute1].[All]" allUniqueName="[sx_pf_CPImport].[GlobalAttribute1].[All]" dimensionUniqueName="[sx_pf_CPImport]" displayFolder="" count="2" memberValueDatatype="130" unbalanced="0"/>
    <cacheHierarchy uniqueName="[sx_pf_CPImport].[GlobalAttribute2]" caption="GlobalAttribute2" attribute="1" defaultMemberUniqueName="[sx_pf_CPImport].[GlobalAttribute2].[All]" allUniqueName="[sx_pf_CPImport].[GlobalAttribute2].[All]" dimensionUniqueName="[sx_pf_CPImport]" displayFolder="" count="2" memberValueDatatype="130" unbalanced="0"/>
    <cacheHierarchy uniqueName="[sx_pf_CPImport].[Value]" caption="Value" attribute="1" defaultMemberUniqueName="[sx_pf_CPImport].[Value].[All]" allUniqueName="[sx_pf_CPImport].[Value].[All]" dimensionUniqueName="[sx_pf_CPImport]" displayFolder="" count="2" memberValueDatatype="6" unbalanced="0"/>
    <cacheHierarchy uniqueName="[sx_pf_CPImport].[GlobalAttribute3]" caption="GlobalAttribute3" attribute="1" defaultMemberUniqueName="[sx_pf_CPImport].[GlobalAttribute3].[All]" allUniqueName="[sx_pf_CPImport].[GlobalAttribute3].[All]" dimensionUniqueName="[sx_pf_CPImport]" displayFolder="" count="2" memberValueDatatype="130" unbalanced="0"/>
    <cacheHierarchy uniqueName="[sx_pf_CPImport].[GlobalAttribute4]" caption="GlobalAttribute4" attribute="1" defaultMemberUniqueName="[sx_pf_CPImport].[GlobalAttribute4].[All]" allUniqueName="[sx_pf_CPImport].[GlobalAttribute4].[All]" dimensionUniqueName="[sx_pf_CPImport]" displayFolder="" count="2" memberValueDatatype="130" unbalanced="0"/>
    <cacheHierarchy uniqueName="[sx_pf_CPImport].[GlobalAttribute5]" caption="GlobalAttribute5" attribute="1" defaultMemberUniqueName="[sx_pf_CPImport].[GlobalAttribute5].[All]" allUniqueName="[sx_pf_CPImport].[GlobalAttribute5].[All]" dimensionUniqueName="[sx_pf_CPImport]" displayFolder="" count="2" memberValueDatatype="130" unbalanced="0"/>
    <cacheHierarchy uniqueName="[sx_pf_CPImport].[GlobalAttribute6]" caption="GlobalAttribute6" attribute="1" defaultMemberUniqueName="[sx_pf_CPImport].[GlobalAttribute6].[All]" allUniqueName="[sx_pf_CPImport].[GlobalAttribute6].[All]" dimensionUniqueName="[sx_pf_CPImport]" displayFolder="" count="2" memberValueDatatype="130" unbalanced="0"/>
    <cacheHierarchy uniqueName="[sx_pf_CPImport].[GlobalAttribute7]" caption="GlobalAttribute7" attribute="1" defaultMemberUniqueName="[sx_pf_CPImport].[GlobalAttribute7].[All]" allUniqueName="[sx_pf_CPImport].[GlobalAttribute7].[All]" dimensionUniqueName="[sx_pf_CPImport]" displayFolder="" count="2" memberValueDatatype="130" unbalanced="0"/>
    <cacheHierarchy uniqueName="[sx_pf_CPImport].[GlobalAttribute8]" caption="GlobalAttribute8" attribute="1" defaultMemberUniqueName="[sx_pf_CPImport].[GlobalAttribute8].[All]" allUniqueName="[sx_pf_CPImport].[GlobalAttribute8].[All]" dimensionUniqueName="[sx_pf_CPImport]" displayFolder="" count="2" memberValueDatatype="130" unbalanced="0"/>
    <cacheHierarchy uniqueName="[sx_pf_CPImport].[GlobalAttribute9]" caption="GlobalAttribute9" attribute="1" defaultMemberUniqueName="[sx_pf_CPImport].[GlobalAttribute9].[All]" allUniqueName="[sx_pf_CPImport].[GlobalAttribute9].[All]" dimensionUniqueName="[sx_pf_CPImport]" displayFolder="" count="2" memberValueDatatype="130" unbalanced="0"/>
    <cacheHierarchy uniqueName="[sx_pf_CPImport].[GlobalAttribute10]" caption="GlobalAttribute10" attribute="1" defaultMemberUniqueName="[sx_pf_CPImport].[GlobalAttribute10].[All]" allUniqueName="[sx_pf_CPImport].[GlobalAttribute10].[All]" dimensionUniqueName="[sx_pf_CPImport]" displayFolder="" count="2" memberValueDatatype="130" unbalanced="0"/>
    <cacheHierarchy uniqueName="[sx_pf_CPImport].[ValueSeriesNo]" caption="ValueSeriesNo" attribute="1" defaultMemberUniqueName="[sx_pf_CPImport].[ValueSeriesNo].[All]" allUniqueName="[sx_pf_CPImport].[ValueSeriesNo].[All]" dimensionUniqueName="[sx_pf_CPImport]" displayFolder="" count="2" memberValueDatatype="20" unbalanced="0"/>
    <cacheHierarchy uniqueName="[sx_pf_CPImport].[VisibilityLevel]" caption="VisibilityLevel" attribute="1" defaultMemberUniqueName="[sx_pf_CPImport].[VisibilityLevel].[All]" allUniqueName="[sx_pf_CPImport].[VisibilityLevel].[All]" dimensionUniqueName="[sx_pf_CPImport]" displayFolder="" count="2" memberValueDatatype="20" unbalanced="0"/>
    <cacheHierarchy uniqueName="[sx_pf_CPImport].[ValueSource]" caption="ValueSource" attribute="1" defaultMemberUniqueName="[sx_pf_CPImport].[ValueSource].[All]" allUniqueName="[sx_pf_CPImport].[ValueSource].[All]" dimensionUniqueName="[sx_pf_CPImport]" displayFolder="" count="2" memberValueDatatype="130" unbalanced="0"/>
    <cacheHierarchy uniqueName="[sx_pf_CPImport].[Unit]" caption="Unit" attribute="1" defaultMemberUniqueName="[sx_pf_CPImport].[Unit].[All]" allUniqueName="[sx_pf_CPImport].[Unit].[All]" dimensionUniqueName="[sx_pf_CPImport]" displayFolder="" count="2" memberValueDatatype="130" unbalanced="0"/>
    <cacheHierarchy uniqueName="[sx_pf_CPImport].[Effect]" caption="Effect" attribute="1" defaultMemberUniqueName="[sx_pf_CPImport].[Effect].[All]" allUniqueName="[sx_pf_CPImport].[Effect].[All]" dimensionUniqueName="[sx_pf_CPImport]" displayFolder="" count="2" memberValueDatatype="130" unbalanced="0"/>
    <cacheHierarchy uniqueName="[sx_pf_CPImport].[EffectParameter]" caption="EffectParameter" attribute="1" defaultMemberUniqueName="[sx_pf_CPImport].[EffectParameter].[All]" allUniqueName="[sx_pf_CPImport].[EffectParameter].[All]" dimensionUniqueName="[sx_pf_CPImport]" displayFolder="" count="2" memberValueDatatype="130" unbalanced="0"/>
    <cacheHierarchy uniqueName="[Measures].[__XL_Count sx_pf_CPImport]" caption="__XL_Count sx_pf_CPImport" measure="1" displayFolder="" measureGroup="sx_pf_CPImport" count="0" hidden="1"/>
    <cacheHierarchy uniqueName="[Measures].[__No measures defined]" caption="__No measures defined" measure="1" displayFolder="" count="0" hidden="1"/>
    <cacheHierarchy uniqueName="[Measures].[Summe von Month]" caption="Summe von Month" measure="1" displayFolder="" measureGroup="sx_pf_CPImport" count="0" hidden="1">
      <extLst>
        <ext xmlns:x15="http://schemas.microsoft.com/office/spreadsheetml/2010/11/main" uri="{B97F6D7D-B522-45F9-BDA1-12C45D357490}">
          <x15:cacheHierarchy aggregatedColumn="10"/>
        </ext>
      </extLst>
    </cacheHierarchy>
    <cacheHierarchy uniqueName="[Measures].[Summe von Value]" caption="Summe von Value" measure="1" displayFolder="" measureGroup="sx_pf_CPImport" count="0" oneField="1" hidden="1">
      <fieldsUsage count="1">
        <fieldUsage x="2"/>
      </fieldsUsage>
      <extLst>
        <ext xmlns:x15="http://schemas.microsoft.com/office/spreadsheetml/2010/11/main" uri="{B97F6D7D-B522-45F9-BDA1-12C45D357490}">
          <x15:cacheHierarchy aggregatedColumn="18"/>
        </ext>
      </extLst>
    </cacheHierarchy>
  </cacheHierarchies>
  <kpis count="0"/>
  <dimensions count="2">
    <dimension measure="1" name="Measures" uniqueName="[Measures]" caption="Measures"/>
    <dimension name="sx_pf_CPImport" uniqueName="[sx_pf_CPImport]" caption="sx_pf_CPImport"/>
  </dimensions>
  <measureGroups count="1">
    <measureGroup name="sx_pf_CPImport" caption="sx_pf_CPImpo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admin" refreshedDate="43002.774076388887" backgroundQuery="1" createdVersion="3" refreshedVersion="6" minRefreshableVersion="3" recordCount="0" supportSubquery="1" supportAdvancedDrill="1">
  <cacheSource type="external" connectionId="3">
    <extLst>
      <ext xmlns:x14="http://schemas.microsoft.com/office/spreadsheetml/2009/9/main" uri="{F057638F-6D5F-4e77-A914-E7F072B9BCA8}">
        <x14:sourceConnection name="ThisWorkbookDataModel"/>
      </ext>
    </extLst>
  </cacheSource>
  <cacheFields count="0"/>
  <cacheHierarchies count="37">
    <cacheHierarchy uniqueName="[sx_pf_CPImport].[ValueSeriesID]" caption="ValueSeriesID" attribute="1" defaultMemberUniqueName="[sx_pf_CPImport].[ValueSeriesID].[All]" allUniqueName="[sx_pf_CPImport].[ValueSeriesID].[All]" dimensionUniqueName="[sx_pf_CPImport]" displayFolder="" count="0" memberValueDatatype="130" unbalanced="0"/>
    <cacheHierarchy uniqueName="[sx_pf_CPImport].[ValueSeriesName]" caption="ValueSeriesName" attribute="1" defaultMemberUniqueName="[sx_pf_CPImport].[ValueSeriesName].[All]" allUniqueName="[sx_pf_CPImport].[ValueSeriesName].[All]" dimensionUniqueName="[sx_pf_CPImport]" displayFolder="" count="0" memberValueDatatype="130" unbalanced="0"/>
    <cacheHierarchy uniqueName="[sx_pf_CPImport].[ProductID]" caption="ProductID" attribute="1" defaultMemberUniqueName="[sx_pf_CPImport].[ProductID].[All]" allUniqueName="[sx_pf_CPImport].[ProductID].[All]" dimensionUniqueName="[sx_pf_CPImport]" displayFolder="" count="0" memberValueDatatype="130" unbalanced="0"/>
    <cacheHierarchy uniqueName="[sx_pf_CPImport].[ProductName]" caption="ProductName" attribute="1" defaultMemberUniqueName="[sx_pf_CPImport].[ProductName].[All]" allUniqueName="[sx_pf_CPImport].[ProductName].[All]" dimensionUniqueName="[sx_pf_CPImport]" displayFolder="" count="0" memberValueDatatype="130" unbalanced="0"/>
    <cacheHierarchy uniqueName="[sx_pf_CPImport].[ProductLineID]" caption="ProductLineID" attribute="1" defaultMemberUniqueName="[sx_pf_CPImport].[ProductLineID].[All]" allUniqueName="[sx_pf_CPImport].[ProductLineID].[All]" dimensionUniqueName="[sx_pf_CPImport]" displayFolder="" count="0" memberValueDatatype="130" unbalanced="0"/>
    <cacheHierarchy uniqueName="[sx_pf_CPImport].[ProductLineName]" caption="ProductLineName" attribute="1" defaultMemberUniqueName="[sx_pf_CPImport].[ProductLineName].[All]" allUniqueName="[sx_pf_CPImport].[ProductLineName].[All]" dimensionUniqueName="[sx_pf_CPImport]" displayFolder="" count="2" memberValueDatatype="130" unbalanced="0"/>
    <cacheHierarchy uniqueName="[sx_pf_CPImport].[FactoryID]" caption="FactoryID" attribute="1" defaultMemberUniqueName="[sx_pf_CPImport].[FactoryID].[All]" allUniqueName="[sx_pf_CPImport].[FactoryID].[All]" dimensionUniqueName="[sx_pf_CPImport]" displayFolder="" count="0" memberValueDatatype="130" unbalanced="0"/>
    <cacheHierarchy uniqueName="[sx_pf_CPImport].[FactoryName]" caption="FactoryName" attribute="1" defaultMemberUniqueName="[sx_pf_CPImport].[FactoryName].[All]" allUniqueName="[sx_pf_CPImport].[FactoryName].[All]" dimensionUniqueName="[sx_pf_CPImport]" displayFolder="" count="0" memberValueDatatype="130" unbalanced="0"/>
    <cacheHierarchy uniqueName="[sx_pf_CPImport].[TimeID]" caption="TimeID" attribute="1" defaultMemberUniqueName="[sx_pf_CPImport].[TimeID].[All]" allUniqueName="[sx_pf_CPImport].[TimeID].[All]" dimensionUniqueName="[sx_pf_CPImport]" displayFolder="" count="0" memberValueDatatype="20" unbalanced="0"/>
    <cacheHierarchy uniqueName="[sx_pf_CPImport].[Year]" caption="Year" attribute="1" defaultMemberUniqueName="[sx_pf_CPImport].[Year].[All]" allUniqueName="[sx_pf_CPImport].[Year].[All]" dimensionUniqueName="[sx_pf_CPImport]" displayFolder="" count="0" memberValueDatatype="20" unbalanced="0"/>
    <cacheHierarchy uniqueName="[sx_pf_CPImport].[Month]" caption="Month" attribute="1" defaultMemberUniqueName="[sx_pf_CPImport].[Month].[All]" allUniqueName="[sx_pf_CPImport].[Month].[All]" dimensionUniqueName="[sx_pf_CPImport]" displayFolder="" count="0" memberValueDatatype="20" unbalanced="0"/>
    <cacheHierarchy uniqueName="[sx_pf_CPImport].[Date]" caption="Date" attribute="1" time="1" defaultMemberUniqueName="[sx_pf_CPImport].[Date].[All]" allUniqueName="[sx_pf_CPImport].[Date].[All]" dimensionUniqueName="[sx_pf_CPImport]" displayFolder="" count="0" memberValueDatatype="7" unbalanced="0"/>
    <cacheHierarchy uniqueName="[sx_pf_CPImport].[FResponsiblePerson]" caption="FResponsiblePerson" attribute="1" defaultMemberUniqueName="[sx_pf_CPImport].[FResponsiblePerson].[All]" allUniqueName="[sx_pf_CPImport].[FResponsiblePerson].[All]" dimensionUniqueName="[sx_pf_CPImport]" displayFolder="" count="0" memberValueDatatype="130" unbalanced="0"/>
    <cacheHierarchy uniqueName="[sx_pf_CPImport].[PLResponsiblePerson]" caption="PLResponsiblePerson" attribute="1" defaultMemberUniqueName="[sx_pf_CPImport].[PLResponsiblePerson].[All]" allUniqueName="[sx_pf_CPImport].[PLResponsiblePerson].[All]" dimensionUniqueName="[sx_pf_CPImport]" displayFolder="" count="0" memberValueDatatype="130" unbalanced="0"/>
    <cacheHierarchy uniqueName="[sx_pf_CPImport].[ResponsiblePerson]" caption="ResponsiblePerson" attribute="1" defaultMemberUniqueName="[sx_pf_CPImport].[ResponsiblePerson].[All]" allUniqueName="[sx_pf_CPImport].[ResponsiblePerson].[All]" dimensionUniqueName="[sx_pf_CPImport]" displayFolder="" count="0" memberValueDatatype="130" unbalanced="0"/>
    <cacheHierarchy uniqueName="[sx_pf_CPImport].[Status]" caption="Status" attribute="1" defaultMemberUniqueName="[sx_pf_CPImport].[Status].[All]" allUniqueName="[sx_pf_CPImport].[Status].[All]" dimensionUniqueName="[sx_pf_CPImport]" displayFolder="" count="0" memberValueDatatype="130" unbalanced="0"/>
    <cacheHierarchy uniqueName="[sx_pf_CPImport].[GlobalAttribute1]" caption="GlobalAttribute1" attribute="1" defaultMemberUniqueName="[sx_pf_CPImport].[GlobalAttribute1].[All]" allUniqueName="[sx_pf_CPImport].[GlobalAttribute1].[All]" dimensionUniqueName="[sx_pf_CPImport]" displayFolder="" count="0" memberValueDatatype="130" unbalanced="0"/>
    <cacheHierarchy uniqueName="[sx_pf_CPImport].[GlobalAttribute2]" caption="GlobalAttribute2" attribute="1" defaultMemberUniqueName="[sx_pf_CPImport].[GlobalAttribute2].[All]" allUniqueName="[sx_pf_CPImport].[GlobalAttribute2].[All]" dimensionUniqueName="[sx_pf_CPImport]" displayFolder="" count="0" memberValueDatatype="130" unbalanced="0"/>
    <cacheHierarchy uniqueName="[sx_pf_CPImport].[Value]" caption="Value" attribute="1" defaultMemberUniqueName="[sx_pf_CPImport].[Value].[All]" allUniqueName="[sx_pf_CPImport].[Value].[All]" dimensionUniqueName="[sx_pf_CPImport]" displayFolder="" count="0" memberValueDatatype="6" unbalanced="0"/>
    <cacheHierarchy uniqueName="[sx_pf_CPImport].[GlobalAttribute3]" caption="GlobalAttribute3" attribute="1" defaultMemberUniqueName="[sx_pf_CPImport].[GlobalAttribute3].[All]" allUniqueName="[sx_pf_CPImport].[GlobalAttribute3].[All]" dimensionUniqueName="[sx_pf_CPImport]" displayFolder="" count="0" memberValueDatatype="130" unbalanced="0"/>
    <cacheHierarchy uniqueName="[sx_pf_CPImport].[GlobalAttribute4]" caption="GlobalAttribute4" attribute="1" defaultMemberUniqueName="[sx_pf_CPImport].[GlobalAttribute4].[All]" allUniqueName="[sx_pf_CPImport].[GlobalAttribute4].[All]" dimensionUniqueName="[sx_pf_CPImport]" displayFolder="" count="0" memberValueDatatype="130" unbalanced="0"/>
    <cacheHierarchy uniqueName="[sx_pf_CPImport].[GlobalAttribute5]" caption="GlobalAttribute5" attribute="1" defaultMemberUniqueName="[sx_pf_CPImport].[GlobalAttribute5].[All]" allUniqueName="[sx_pf_CPImport].[GlobalAttribute5].[All]" dimensionUniqueName="[sx_pf_CPImport]" displayFolder="" count="0" memberValueDatatype="130" unbalanced="0"/>
    <cacheHierarchy uniqueName="[sx_pf_CPImport].[GlobalAttribute6]" caption="GlobalAttribute6" attribute="1" defaultMemberUniqueName="[sx_pf_CPImport].[GlobalAttribute6].[All]" allUniqueName="[sx_pf_CPImport].[GlobalAttribute6].[All]" dimensionUniqueName="[sx_pf_CPImport]" displayFolder="" count="0" memberValueDatatype="130" unbalanced="0"/>
    <cacheHierarchy uniqueName="[sx_pf_CPImport].[GlobalAttribute7]" caption="GlobalAttribute7" attribute="1" defaultMemberUniqueName="[sx_pf_CPImport].[GlobalAttribute7].[All]" allUniqueName="[sx_pf_CPImport].[GlobalAttribute7].[All]" dimensionUniqueName="[sx_pf_CPImport]" displayFolder="" count="0" memberValueDatatype="130" unbalanced="0"/>
    <cacheHierarchy uniqueName="[sx_pf_CPImport].[GlobalAttribute8]" caption="GlobalAttribute8" attribute="1" defaultMemberUniqueName="[sx_pf_CPImport].[GlobalAttribute8].[All]" allUniqueName="[sx_pf_CPImport].[GlobalAttribute8].[All]" dimensionUniqueName="[sx_pf_CPImport]" displayFolder="" count="0" memberValueDatatype="130" unbalanced="0"/>
    <cacheHierarchy uniqueName="[sx_pf_CPImport].[GlobalAttribute9]" caption="GlobalAttribute9" attribute="1" defaultMemberUniqueName="[sx_pf_CPImport].[GlobalAttribute9].[All]" allUniqueName="[sx_pf_CPImport].[GlobalAttribute9].[All]" dimensionUniqueName="[sx_pf_CPImport]" displayFolder="" count="0" memberValueDatatype="130" unbalanced="0"/>
    <cacheHierarchy uniqueName="[sx_pf_CPImport].[GlobalAttribute10]" caption="GlobalAttribute10" attribute="1" defaultMemberUniqueName="[sx_pf_CPImport].[GlobalAttribute10].[All]" allUniqueName="[sx_pf_CPImport].[GlobalAttribute10].[All]" dimensionUniqueName="[sx_pf_CPImport]" displayFolder="" count="0" memberValueDatatype="130" unbalanced="0"/>
    <cacheHierarchy uniqueName="[sx_pf_CPImport].[ValueSeriesNo]" caption="ValueSeriesNo" attribute="1" defaultMemberUniqueName="[sx_pf_CPImport].[ValueSeriesNo].[All]" allUniqueName="[sx_pf_CPImport].[ValueSeriesNo].[All]" dimensionUniqueName="[sx_pf_CPImport]" displayFolder="" count="0" memberValueDatatype="20" unbalanced="0"/>
    <cacheHierarchy uniqueName="[sx_pf_CPImport].[VisibilityLevel]" caption="VisibilityLevel" attribute="1" defaultMemberUniqueName="[sx_pf_CPImport].[VisibilityLevel].[All]" allUniqueName="[sx_pf_CPImport].[VisibilityLevel].[All]" dimensionUniqueName="[sx_pf_CPImport]" displayFolder="" count="0" memberValueDatatype="20" unbalanced="0"/>
    <cacheHierarchy uniqueName="[sx_pf_CPImport].[ValueSource]" caption="ValueSource" attribute="1" defaultMemberUniqueName="[sx_pf_CPImport].[ValueSource].[All]" allUniqueName="[sx_pf_CPImport].[ValueSource].[All]" dimensionUniqueName="[sx_pf_CPImport]" displayFolder="" count="0" memberValueDatatype="130" unbalanced="0"/>
    <cacheHierarchy uniqueName="[sx_pf_CPImport].[Unit]" caption="Unit" attribute="1" defaultMemberUniqueName="[sx_pf_CPImport].[Unit].[All]" allUniqueName="[sx_pf_CPImport].[Unit].[All]" dimensionUniqueName="[sx_pf_CPImport]" displayFolder="" count="0" memberValueDatatype="130" unbalanced="0"/>
    <cacheHierarchy uniqueName="[sx_pf_CPImport].[Effect]" caption="Effect" attribute="1" defaultMemberUniqueName="[sx_pf_CPImport].[Effect].[All]" allUniqueName="[sx_pf_CPImport].[Effect].[All]" dimensionUniqueName="[sx_pf_CPImport]" displayFolder="" count="0" memberValueDatatype="130" unbalanced="0"/>
    <cacheHierarchy uniqueName="[sx_pf_CPImport].[EffectParameter]" caption="EffectParameter" attribute="1" defaultMemberUniqueName="[sx_pf_CPImport].[EffectParameter].[All]" allUniqueName="[sx_pf_CPImport].[EffectParameter].[All]" dimensionUniqueName="[sx_pf_CPImport]" displayFolder="" count="0" memberValueDatatype="130" unbalanced="0"/>
    <cacheHierarchy uniqueName="[Measures].[__XL_Count sx_pf_CPImport]" caption="__XL_Count sx_pf_CPImport" measure="1" displayFolder="" measureGroup="sx_pf_CPImport" count="0" hidden="1"/>
    <cacheHierarchy uniqueName="[Measures].[__No measures defined]" caption="__No measures defined" measure="1" displayFolder="" count="0" hidden="1"/>
    <cacheHierarchy uniqueName="[Measures].[Summe von Month]" caption="Summe von Month" measure="1" displayFolder="" measureGroup="sx_pf_CPImport" count="0" hidden="1">
      <extLst>
        <ext xmlns:x15="http://schemas.microsoft.com/office/spreadsheetml/2010/11/main" uri="{B97F6D7D-B522-45F9-BDA1-12C45D357490}">
          <x15:cacheHierarchy aggregatedColumn="10"/>
        </ext>
      </extLst>
    </cacheHierarchy>
    <cacheHierarchy uniqueName="[Measures].[Summe von Value]" caption="Summe von Value" measure="1" displayFolder="" measureGroup="sx_pf_CPImport"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4" cacheId="24"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B8:O57" firstHeaderRow="1" firstDataRow="2" firstDataCol="1" rowPageCount="2" colPageCount="1"/>
  <pivotFields count="6">
    <pivotField axis="axisPage" allDrilled="1" showAll="0" dataSourceSort="1" defaultAttributeDrillState="1">
      <items count="1">
        <item t="default"/>
      </items>
    </pivotField>
    <pivotField axis="axisCol" allDrilled="1" showAll="0" dataSourceSort="1" defaultAttributeDrillState="1">
      <items count="13">
        <item x="0"/>
        <item x="1"/>
        <item x="2"/>
        <item x="3"/>
        <item x="4"/>
        <item x="5"/>
        <item x="6"/>
        <item x="7"/>
        <item x="8"/>
        <item x="9"/>
        <item x="10"/>
        <item x="11"/>
        <item t="default"/>
      </items>
    </pivotField>
    <pivotField dataField="1" showAll="0"/>
    <pivotField axis="axisRow" allDrilled="1" showAll="0" dataSourceSort="1" defaultAttributeDrillState="1">
      <items count="6">
        <item x="0"/>
        <item x="1"/>
        <item x="2"/>
        <item x="3"/>
        <item x="4"/>
        <item t="default"/>
      </items>
    </pivotField>
    <pivotField axis="axisPage" allDrilled="1" showAll="0" dataSourceSort="1" defaultAttributeDrillState="1">
      <items count="1">
        <item t="default"/>
      </items>
    </pivotField>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s>
  <rowFields count="2">
    <field x="3"/>
    <field x="5"/>
  </rowFields>
  <rowItems count="48">
    <i>
      <x/>
    </i>
    <i r="1">
      <x/>
    </i>
    <i r="1">
      <x v="1"/>
    </i>
    <i r="1">
      <x v="2"/>
    </i>
    <i r="1">
      <x v="3"/>
    </i>
    <i r="1">
      <x v="4"/>
    </i>
    <i r="1">
      <x v="5"/>
    </i>
    <i r="1">
      <x v="6"/>
    </i>
    <i r="1">
      <x v="7"/>
    </i>
    <i r="1">
      <x v="8"/>
    </i>
    <i r="1">
      <x v="9"/>
    </i>
    <i r="1">
      <x v="10"/>
    </i>
    <i>
      <x v="1"/>
    </i>
    <i r="1">
      <x v="11"/>
    </i>
    <i r="1">
      <x v="12"/>
    </i>
    <i r="1">
      <x v="13"/>
    </i>
    <i r="1">
      <x v="14"/>
    </i>
    <i r="1">
      <x v="15"/>
    </i>
    <i r="1">
      <x v="16"/>
    </i>
    <i r="1">
      <x v="17"/>
    </i>
    <i r="1">
      <x v="18"/>
    </i>
    <i r="1">
      <x v="19"/>
    </i>
    <i r="1">
      <x v="20"/>
    </i>
    <i r="1">
      <x v="21"/>
    </i>
    <i>
      <x v="2"/>
    </i>
    <i r="1">
      <x v="22"/>
    </i>
    <i r="1">
      <x v="23"/>
    </i>
    <i r="1">
      <x v="24"/>
    </i>
    <i r="1">
      <x v="25"/>
    </i>
    <i r="1">
      <x v="26"/>
    </i>
    <i r="1">
      <x v="27"/>
    </i>
    <i>
      <x v="3"/>
    </i>
    <i r="1">
      <x v="28"/>
    </i>
    <i r="1">
      <x v="29"/>
    </i>
    <i r="1">
      <x v="30"/>
    </i>
    <i>
      <x v="4"/>
    </i>
    <i r="1">
      <x v="31"/>
    </i>
    <i r="1">
      <x v="32"/>
    </i>
    <i r="1">
      <x v="33"/>
    </i>
    <i r="1">
      <x v="34"/>
    </i>
    <i r="1">
      <x v="35"/>
    </i>
    <i r="1">
      <x v="36"/>
    </i>
    <i r="1">
      <x v="37"/>
    </i>
    <i r="1">
      <x v="38"/>
    </i>
    <i r="1">
      <x v="39"/>
    </i>
    <i r="1">
      <x v="40"/>
    </i>
    <i r="1">
      <x v="41"/>
    </i>
    <i t="grand">
      <x/>
    </i>
  </rowItems>
  <colFields count="1">
    <field x="1"/>
  </colFields>
  <colItems count="13">
    <i>
      <x/>
    </i>
    <i>
      <x v="1"/>
    </i>
    <i>
      <x v="2"/>
    </i>
    <i>
      <x v="3"/>
    </i>
    <i>
      <x v="4"/>
    </i>
    <i>
      <x v="5"/>
    </i>
    <i>
      <x v="6"/>
    </i>
    <i>
      <x v="7"/>
    </i>
    <i>
      <x v="8"/>
    </i>
    <i>
      <x v="9"/>
    </i>
    <i>
      <x v="10"/>
    </i>
    <i>
      <x v="11"/>
    </i>
    <i t="grand">
      <x/>
    </i>
  </colItems>
  <pageFields count="2">
    <pageField fld="4" hier="7" name="[sx_pf_CPImport].[FactoryName].&amp;[Personalplanung]" cap="Personalplanung"/>
    <pageField fld="0" hier="9" name="[sx_pf_CPImport].[Year].&amp;[2017]" cap="2017"/>
  </pageFields>
  <dataFields count="1">
    <dataField name="Summe von Value" fld="2" baseField="5" baseItem="4" numFmtId="3"/>
  </dataFields>
  <pivotHierarchies count="37">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3"/>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TemplateStore_DE_PROD sx_pf_CPImport1">
        <x15:activeTabTopLevelEntity name="[sx_pf_CPImport]"/>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Datenschnitt_ProductLineName" sourceName="[sx_pf_CPImport].[ProductLineName]">
  <pivotTables>
    <pivotTable tabId="2" name="PivotTable4"/>
  </pivotTables>
  <data>
    <olap pivotCacheId="1">
      <levels count="2">
        <level uniqueName="[sx_pf_CPImport].[ProductLineName].[(All)]" sourceCaption="(All)" count="0"/>
        <level uniqueName="[sx_pf_CPImport].[ProductLineName].[ProductLineName]" sourceCaption="ProductLineName" count="18">
          <ranges>
            <range startItem="0">
              <i n="[sx_pf_CPImport].[ProductLineName].&amp;[Consulting]" c="Consulting"/>
              <i n="[sx_pf_CPImport].[ProductLineName].&amp;[Entwicklung]" c="Entwicklung"/>
              <i n="[sx_pf_CPImport].[ProductLineName].&amp;[Geschäftsleitung]" c="Geschäftsleitung"/>
              <i n="[sx_pf_CPImport].[ProductLineName].&amp;[Rechnungswesen]" c="Rechnungswesen"/>
              <i n="[sx_pf_CPImport].[ProductLineName].&amp;[Vertrieb]" c="Vertrieb"/>
              <i n="[sx_pf_CPImport].[ProductLineName].&amp;[Annuitätendarlehen]" c="Annuitätendarlehen" nd="1"/>
              <i n="[sx_pf_CPImport].[ProductLineName].&amp;[Beratung]" c="Beratung" nd="1"/>
              <i n="[sx_pf_CPImport].[ProductLineName].&amp;[Betriebskosten]" c="Betriebskosten" nd="1"/>
              <i n="[sx_pf_CPImport].[ProductLineName].&amp;[Endfälliges Darlehen]" c="Endfälliges Darlehen" nd="1"/>
              <i n="[sx_pf_CPImport].[ProductLineName].&amp;[Fahrzeuge]" c="Fahrzeuge" nd="1"/>
              <i n="[sx_pf_CPImport].[ProductLineName].&amp;[Infrastruktur]" c="Infrastruktur" nd="1"/>
              <i n="[sx_pf_CPImport].[ProductLineName].&amp;[Personal]" c="Personal" nd="1"/>
              <i n="[sx_pf_CPImport].[ProductLineName].&amp;[Personengebundene Verträge]" c="Personengebundene Verträge" nd="1"/>
              <i n="[sx_pf_CPImport].[ProductLineName].&amp;[Produktgruppe A - Menge x Preis Planung]" c="Produktgruppe A - Menge x Preis Planung" nd="1"/>
              <i n="[sx_pf_CPImport].[ProductLineName].&amp;[Produktgruppe B - Menge x Preis und Wareneinsatz]" c="Produktgruppe B - Menge x Preis und Wareneinsatz" nd="1"/>
              <i n="[sx_pf_CPImport].[ProductLineName].&amp;[Produktgruppe C - Absatzplan mit Zahlungsziel und Forderungen]" c="Produktgruppe C - Absatzplan mit Zahlungsziel und Forderungen" nd="1"/>
              <i n="[sx_pf_CPImport].[ProductLineName].&amp;[Tilgungsdarlehen]" c="Tilgungsdarlehen" nd="1"/>
              <i n="[sx_pf_CPImport].[ProductLineName].&amp;[Verträge für Räume und Gebäude]" c="Verträge für Räume und Gebäude" nd="1"/>
            </range>
          </ranges>
        </level>
      </levels>
      <selections count="1">
        <selection n="[sx_pf_CPImport].[ProductLine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uctLineName" cache="Datenschnitt_ProductLineName" caption="ProductLineName" level="1"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3:O57"/>
  <sheetViews>
    <sheetView showGridLines="0" tabSelected="1" workbookViewId="0">
      <selection activeCell="G37" sqref="G37"/>
    </sheetView>
  </sheetViews>
  <sheetFormatPr baseColWidth="10" defaultRowHeight="15" x14ac:dyDescent="0.25"/>
  <cols>
    <col min="1" max="1" width="36.140625" customWidth="1"/>
    <col min="2" max="2" width="23.140625" bestFit="1" customWidth="1"/>
    <col min="3" max="3" width="23.7109375" bestFit="1" customWidth="1"/>
    <col min="4" max="14" width="7.5703125" bestFit="1" customWidth="1"/>
    <col min="15" max="15" width="15.5703125" bestFit="1" customWidth="1"/>
  </cols>
  <sheetData>
    <row r="3" spans="1:15" ht="18.75" x14ac:dyDescent="0.3">
      <c r="A3" s="6" t="str" vm="3">
        <f>CUBERANKEDMEMBER("ThisWorkbookDataModel",Datenschnitt_ProductLineName,1)</f>
        <v>All</v>
      </c>
      <c r="B3" s="5" t="str">
        <f>"Gehaltsübersicht der Abteilung " &amp; A3</f>
        <v>Gehaltsübersicht der Abteilung All</v>
      </c>
    </row>
    <row r="5" spans="1:15" x14ac:dyDescent="0.25">
      <c r="B5" s="1" t="s">
        <v>53</v>
      </c>
      <c r="C5" t="s" vm="1">
        <v>4</v>
      </c>
    </row>
    <row r="6" spans="1:15" x14ac:dyDescent="0.25">
      <c r="B6" s="1" t="s">
        <v>0</v>
      </c>
      <c r="C6" t="s" vm="2">
        <v>54</v>
      </c>
    </row>
    <row r="8" spans="1:15" x14ac:dyDescent="0.25">
      <c r="B8" s="1" t="s">
        <v>52</v>
      </c>
      <c r="C8" s="1" t="s">
        <v>1</v>
      </c>
    </row>
    <row r="9" spans="1:15" x14ac:dyDescent="0.25">
      <c r="B9" s="1" t="s">
        <v>2</v>
      </c>
      <c r="C9">
        <v>1</v>
      </c>
      <c r="D9">
        <v>2</v>
      </c>
      <c r="E9">
        <v>3</v>
      </c>
      <c r="F9">
        <v>4</v>
      </c>
      <c r="G9">
        <v>5</v>
      </c>
      <c r="H9">
        <v>6</v>
      </c>
      <c r="I9">
        <v>7</v>
      </c>
      <c r="J9">
        <v>8</v>
      </c>
      <c r="K9">
        <v>9</v>
      </c>
      <c r="L9">
        <v>10</v>
      </c>
      <c r="M9">
        <v>11</v>
      </c>
      <c r="N9">
        <v>12</v>
      </c>
      <c r="O9" t="s">
        <v>3</v>
      </c>
    </row>
    <row r="10" spans="1:15" x14ac:dyDescent="0.25">
      <c r="B10" s="2" t="s">
        <v>49</v>
      </c>
      <c r="C10" s="4">
        <v>133132.70000000001</v>
      </c>
      <c r="D10" s="4">
        <v>133132.70000000001</v>
      </c>
      <c r="E10" s="4">
        <v>133132.70000000001</v>
      </c>
      <c r="F10" s="4">
        <v>133132.70000000001</v>
      </c>
      <c r="G10" s="4">
        <v>133132.70000000001</v>
      </c>
      <c r="H10" s="4">
        <v>133968.64000000001</v>
      </c>
      <c r="I10" s="4">
        <v>133132.70000000001</v>
      </c>
      <c r="J10" s="4">
        <v>133132.70000000001</v>
      </c>
      <c r="K10" s="4">
        <v>133132.70000000001</v>
      </c>
      <c r="L10" s="4">
        <v>134565.74</v>
      </c>
      <c r="M10" s="4">
        <v>133896.99</v>
      </c>
      <c r="N10" s="4">
        <v>133132.70000000001</v>
      </c>
      <c r="O10" s="4">
        <v>1600625.67</v>
      </c>
    </row>
    <row r="11" spans="1:15" x14ac:dyDescent="0.25">
      <c r="B11" s="3" t="s">
        <v>23</v>
      </c>
      <c r="C11" s="4">
        <v>10806.57</v>
      </c>
      <c r="D11" s="4">
        <v>10806.57</v>
      </c>
      <c r="E11" s="4">
        <v>10806.57</v>
      </c>
      <c r="F11" s="4">
        <v>10806.57</v>
      </c>
      <c r="G11" s="4">
        <v>10806.57</v>
      </c>
      <c r="H11" s="4">
        <v>11642.51</v>
      </c>
      <c r="I11" s="4">
        <v>10806.57</v>
      </c>
      <c r="J11" s="4">
        <v>10806.57</v>
      </c>
      <c r="K11" s="4">
        <v>10806.57</v>
      </c>
      <c r="L11" s="4">
        <v>12239.61</v>
      </c>
      <c r="M11" s="4">
        <v>11570.86</v>
      </c>
      <c r="N11" s="4">
        <v>10806.57</v>
      </c>
      <c r="O11" s="4">
        <v>132712.10999999999</v>
      </c>
    </row>
    <row r="12" spans="1:15" x14ac:dyDescent="0.25">
      <c r="B12" s="3" t="s">
        <v>24</v>
      </c>
      <c r="C12" s="4">
        <v>11710.28</v>
      </c>
      <c r="D12" s="4">
        <v>11710.28</v>
      </c>
      <c r="E12" s="4">
        <v>11710.28</v>
      </c>
      <c r="F12" s="4">
        <v>11710.28</v>
      </c>
      <c r="G12" s="4">
        <v>11710.28</v>
      </c>
      <c r="H12" s="4">
        <v>11710.28</v>
      </c>
      <c r="I12" s="4">
        <v>11710.28</v>
      </c>
      <c r="J12" s="4">
        <v>11710.28</v>
      </c>
      <c r="K12" s="4">
        <v>11710.28</v>
      </c>
      <c r="L12" s="4">
        <v>11710.28</v>
      </c>
      <c r="M12" s="4">
        <v>11710.28</v>
      </c>
      <c r="N12" s="4">
        <v>11710.28</v>
      </c>
      <c r="O12" s="4">
        <v>140523.35999999999</v>
      </c>
    </row>
    <row r="13" spans="1:15" x14ac:dyDescent="0.25">
      <c r="B13" s="3" t="s">
        <v>30</v>
      </c>
      <c r="C13" s="4">
        <v>11710.28</v>
      </c>
      <c r="D13" s="4">
        <v>11710.28</v>
      </c>
      <c r="E13" s="4">
        <v>11710.28</v>
      </c>
      <c r="F13" s="4">
        <v>11710.28</v>
      </c>
      <c r="G13" s="4">
        <v>11710.28</v>
      </c>
      <c r="H13" s="4">
        <v>11710.28</v>
      </c>
      <c r="I13" s="4">
        <v>11710.28</v>
      </c>
      <c r="J13" s="4">
        <v>11710.28</v>
      </c>
      <c r="K13" s="4">
        <v>11710.28</v>
      </c>
      <c r="L13" s="4">
        <v>11710.28</v>
      </c>
      <c r="M13" s="4">
        <v>11710.28</v>
      </c>
      <c r="N13" s="4">
        <v>11710.28</v>
      </c>
      <c r="O13" s="4">
        <v>140523.35999999999</v>
      </c>
    </row>
    <row r="14" spans="1:15" x14ac:dyDescent="0.25">
      <c r="B14" s="3" t="s">
        <v>32</v>
      </c>
      <c r="C14" s="4">
        <v>11710.28</v>
      </c>
      <c r="D14" s="4">
        <v>11710.28</v>
      </c>
      <c r="E14" s="4">
        <v>11710.28</v>
      </c>
      <c r="F14" s="4">
        <v>11710.28</v>
      </c>
      <c r="G14" s="4">
        <v>11710.28</v>
      </c>
      <c r="H14" s="4">
        <v>11710.28</v>
      </c>
      <c r="I14" s="4">
        <v>11710.28</v>
      </c>
      <c r="J14" s="4">
        <v>11710.28</v>
      </c>
      <c r="K14" s="4">
        <v>11710.28</v>
      </c>
      <c r="L14" s="4">
        <v>11710.28</v>
      </c>
      <c r="M14" s="4">
        <v>11710.28</v>
      </c>
      <c r="N14" s="4">
        <v>11710.28</v>
      </c>
      <c r="O14" s="4">
        <v>140523.35999999999</v>
      </c>
    </row>
    <row r="15" spans="1:15" x14ac:dyDescent="0.25">
      <c r="B15" s="3" t="s">
        <v>28</v>
      </c>
      <c r="C15" s="4">
        <v>11710.28</v>
      </c>
      <c r="D15" s="4">
        <v>11710.28</v>
      </c>
      <c r="E15" s="4">
        <v>11710.28</v>
      </c>
      <c r="F15" s="4">
        <v>11710.28</v>
      </c>
      <c r="G15" s="4">
        <v>11710.28</v>
      </c>
      <c r="H15" s="4">
        <v>11710.28</v>
      </c>
      <c r="I15" s="4">
        <v>11710.28</v>
      </c>
      <c r="J15" s="4">
        <v>11710.28</v>
      </c>
      <c r="K15" s="4">
        <v>11710.28</v>
      </c>
      <c r="L15" s="4">
        <v>11710.28</v>
      </c>
      <c r="M15" s="4">
        <v>11710.28</v>
      </c>
      <c r="N15" s="4">
        <v>11710.28</v>
      </c>
      <c r="O15" s="4">
        <v>140523.35999999999</v>
      </c>
    </row>
    <row r="16" spans="1:15" x14ac:dyDescent="0.25">
      <c r="B16" s="3" t="s">
        <v>25</v>
      </c>
      <c r="C16" s="4">
        <v>11710.28</v>
      </c>
      <c r="D16" s="4">
        <v>11710.28</v>
      </c>
      <c r="E16" s="4">
        <v>11710.28</v>
      </c>
      <c r="F16" s="4">
        <v>11710.28</v>
      </c>
      <c r="G16" s="4">
        <v>11710.28</v>
      </c>
      <c r="H16" s="4">
        <v>11710.28</v>
      </c>
      <c r="I16" s="4">
        <v>11710.28</v>
      </c>
      <c r="J16" s="4">
        <v>11710.28</v>
      </c>
      <c r="K16" s="4">
        <v>11710.28</v>
      </c>
      <c r="L16" s="4">
        <v>11710.28</v>
      </c>
      <c r="M16" s="4">
        <v>11710.28</v>
      </c>
      <c r="N16" s="4">
        <v>11710.28</v>
      </c>
      <c r="O16" s="4">
        <v>140523.35999999999</v>
      </c>
    </row>
    <row r="17" spans="2:15" x14ac:dyDescent="0.25">
      <c r="B17" s="3" t="s">
        <v>22</v>
      </c>
      <c r="C17" s="4">
        <v>16933.61</v>
      </c>
      <c r="D17" s="4">
        <v>16933.61</v>
      </c>
      <c r="E17" s="4">
        <v>16933.61</v>
      </c>
      <c r="F17" s="4">
        <v>16933.61</v>
      </c>
      <c r="G17" s="4">
        <v>16933.61</v>
      </c>
      <c r="H17" s="4">
        <v>16933.61</v>
      </c>
      <c r="I17" s="4">
        <v>16933.61</v>
      </c>
      <c r="J17" s="4">
        <v>16933.61</v>
      </c>
      <c r="K17" s="4">
        <v>16933.61</v>
      </c>
      <c r="L17" s="4">
        <v>16933.61</v>
      </c>
      <c r="M17" s="4">
        <v>16933.61</v>
      </c>
      <c r="N17" s="4">
        <v>16933.61</v>
      </c>
      <c r="O17" s="4">
        <v>203203.32</v>
      </c>
    </row>
    <row r="18" spans="2:15" x14ac:dyDescent="0.25">
      <c r="B18" s="3" t="s">
        <v>29</v>
      </c>
      <c r="C18" s="4">
        <v>11710.28</v>
      </c>
      <c r="D18" s="4">
        <v>11710.28</v>
      </c>
      <c r="E18" s="4">
        <v>11710.28</v>
      </c>
      <c r="F18" s="4">
        <v>11710.28</v>
      </c>
      <c r="G18" s="4">
        <v>11710.28</v>
      </c>
      <c r="H18" s="4">
        <v>11710.28</v>
      </c>
      <c r="I18" s="4">
        <v>11710.28</v>
      </c>
      <c r="J18" s="4">
        <v>11710.28</v>
      </c>
      <c r="K18" s="4">
        <v>11710.28</v>
      </c>
      <c r="L18" s="4">
        <v>11710.28</v>
      </c>
      <c r="M18" s="4">
        <v>11710.28</v>
      </c>
      <c r="N18" s="4">
        <v>11710.28</v>
      </c>
      <c r="O18" s="4">
        <v>140523.35999999999</v>
      </c>
    </row>
    <row r="19" spans="2:15" x14ac:dyDescent="0.25">
      <c r="B19" s="3" t="s">
        <v>31</v>
      </c>
      <c r="C19" s="4">
        <v>11710.28</v>
      </c>
      <c r="D19" s="4">
        <v>11710.28</v>
      </c>
      <c r="E19" s="4">
        <v>11710.28</v>
      </c>
      <c r="F19" s="4">
        <v>11710.28</v>
      </c>
      <c r="G19" s="4">
        <v>11710.28</v>
      </c>
      <c r="H19" s="4">
        <v>11710.28</v>
      </c>
      <c r="I19" s="4">
        <v>11710.28</v>
      </c>
      <c r="J19" s="4">
        <v>11710.28</v>
      </c>
      <c r="K19" s="4">
        <v>11710.28</v>
      </c>
      <c r="L19" s="4">
        <v>11710.28</v>
      </c>
      <c r="M19" s="4">
        <v>11710.28</v>
      </c>
      <c r="N19" s="4">
        <v>11710.28</v>
      </c>
      <c r="O19" s="4">
        <v>140523.35999999999</v>
      </c>
    </row>
    <row r="20" spans="2:15" x14ac:dyDescent="0.25">
      <c r="B20" s="3" t="s">
        <v>27</v>
      </c>
      <c r="C20" s="4">
        <v>11710.28</v>
      </c>
      <c r="D20" s="4">
        <v>11710.28</v>
      </c>
      <c r="E20" s="4">
        <v>11710.28</v>
      </c>
      <c r="F20" s="4">
        <v>11710.28</v>
      </c>
      <c r="G20" s="4">
        <v>11710.28</v>
      </c>
      <c r="H20" s="4">
        <v>11710.28</v>
      </c>
      <c r="I20" s="4">
        <v>11710.28</v>
      </c>
      <c r="J20" s="4">
        <v>11710.28</v>
      </c>
      <c r="K20" s="4">
        <v>11710.28</v>
      </c>
      <c r="L20" s="4">
        <v>11710.28</v>
      </c>
      <c r="M20" s="4">
        <v>11710.28</v>
      </c>
      <c r="N20" s="4">
        <v>11710.28</v>
      </c>
      <c r="O20" s="4">
        <v>140523.35999999999</v>
      </c>
    </row>
    <row r="21" spans="2:15" x14ac:dyDescent="0.25">
      <c r="B21" s="3" t="s">
        <v>26</v>
      </c>
      <c r="C21" s="4">
        <v>11710.28</v>
      </c>
      <c r="D21" s="4">
        <v>11710.28</v>
      </c>
      <c r="E21" s="4">
        <v>11710.28</v>
      </c>
      <c r="F21" s="4">
        <v>11710.28</v>
      </c>
      <c r="G21" s="4">
        <v>11710.28</v>
      </c>
      <c r="H21" s="4">
        <v>11710.28</v>
      </c>
      <c r="I21" s="4">
        <v>11710.28</v>
      </c>
      <c r="J21" s="4">
        <v>11710.28</v>
      </c>
      <c r="K21" s="4">
        <v>11710.28</v>
      </c>
      <c r="L21" s="4">
        <v>11710.28</v>
      </c>
      <c r="M21" s="4">
        <v>11710.28</v>
      </c>
      <c r="N21" s="4">
        <v>11710.28</v>
      </c>
      <c r="O21" s="4">
        <v>140523.35999999999</v>
      </c>
    </row>
    <row r="22" spans="2:15" x14ac:dyDescent="0.25">
      <c r="B22" s="2" t="s">
        <v>48</v>
      </c>
      <c r="C22" s="4">
        <v>133132.70000000001</v>
      </c>
      <c r="D22" s="4">
        <v>133132.70000000001</v>
      </c>
      <c r="E22" s="4">
        <v>133132.70000000001</v>
      </c>
      <c r="F22" s="4">
        <v>133132.70000000001</v>
      </c>
      <c r="G22" s="4">
        <v>133132.70000000001</v>
      </c>
      <c r="H22" s="4">
        <v>133132.70000000001</v>
      </c>
      <c r="I22" s="4">
        <v>133132.70000000001</v>
      </c>
      <c r="J22" s="4">
        <v>133132.70000000001</v>
      </c>
      <c r="K22" s="4">
        <v>133132.70000000001</v>
      </c>
      <c r="L22" s="4">
        <v>133132.70000000001</v>
      </c>
      <c r="M22" s="4">
        <v>133132.70000000001</v>
      </c>
      <c r="N22" s="4">
        <v>133132.70000000001</v>
      </c>
      <c r="O22" s="4">
        <v>1597592.4</v>
      </c>
    </row>
    <row r="23" spans="2:15" x14ac:dyDescent="0.25">
      <c r="B23" s="3" t="s">
        <v>11</v>
      </c>
      <c r="C23" s="4">
        <v>16933.61</v>
      </c>
      <c r="D23" s="4">
        <v>16933.61</v>
      </c>
      <c r="E23" s="4">
        <v>16933.61</v>
      </c>
      <c r="F23" s="4">
        <v>16933.61</v>
      </c>
      <c r="G23" s="4">
        <v>16933.61</v>
      </c>
      <c r="H23" s="4">
        <v>16933.61</v>
      </c>
      <c r="I23" s="4">
        <v>16933.61</v>
      </c>
      <c r="J23" s="4">
        <v>16933.61</v>
      </c>
      <c r="K23" s="4">
        <v>16933.61</v>
      </c>
      <c r="L23" s="4">
        <v>16933.61</v>
      </c>
      <c r="M23" s="4">
        <v>16933.61</v>
      </c>
      <c r="N23" s="4">
        <v>16933.61</v>
      </c>
      <c r="O23" s="4">
        <v>203203.32</v>
      </c>
    </row>
    <row r="24" spans="2:15" x14ac:dyDescent="0.25">
      <c r="B24" s="3" t="s">
        <v>16</v>
      </c>
      <c r="C24" s="4">
        <v>11710.28</v>
      </c>
      <c r="D24" s="4">
        <v>11710.28</v>
      </c>
      <c r="E24" s="4">
        <v>11710.28</v>
      </c>
      <c r="F24" s="4">
        <v>11710.28</v>
      </c>
      <c r="G24" s="4">
        <v>11710.28</v>
      </c>
      <c r="H24" s="4">
        <v>11710.28</v>
      </c>
      <c r="I24" s="4">
        <v>11710.28</v>
      </c>
      <c r="J24" s="4">
        <v>11710.28</v>
      </c>
      <c r="K24" s="4">
        <v>11710.28</v>
      </c>
      <c r="L24" s="4">
        <v>11710.28</v>
      </c>
      <c r="M24" s="4">
        <v>11710.28</v>
      </c>
      <c r="N24" s="4">
        <v>11710.28</v>
      </c>
      <c r="O24" s="4">
        <v>140523.35999999999</v>
      </c>
    </row>
    <row r="25" spans="2:15" x14ac:dyDescent="0.25">
      <c r="B25" s="3" t="s">
        <v>20</v>
      </c>
      <c r="C25" s="4">
        <v>11710.28</v>
      </c>
      <c r="D25" s="4">
        <v>11710.28</v>
      </c>
      <c r="E25" s="4">
        <v>11710.28</v>
      </c>
      <c r="F25" s="4">
        <v>11710.28</v>
      </c>
      <c r="G25" s="4">
        <v>11710.28</v>
      </c>
      <c r="H25" s="4">
        <v>11710.28</v>
      </c>
      <c r="I25" s="4">
        <v>11710.28</v>
      </c>
      <c r="J25" s="4">
        <v>11710.28</v>
      </c>
      <c r="K25" s="4">
        <v>11710.28</v>
      </c>
      <c r="L25" s="4">
        <v>11710.28</v>
      </c>
      <c r="M25" s="4">
        <v>11710.28</v>
      </c>
      <c r="N25" s="4">
        <v>11710.28</v>
      </c>
      <c r="O25" s="4">
        <v>140523.35999999999</v>
      </c>
    </row>
    <row r="26" spans="2:15" x14ac:dyDescent="0.25">
      <c r="B26" s="3" t="s">
        <v>15</v>
      </c>
      <c r="C26" s="4">
        <v>11710.28</v>
      </c>
      <c r="D26" s="4">
        <v>11710.28</v>
      </c>
      <c r="E26" s="4">
        <v>11710.28</v>
      </c>
      <c r="F26" s="4">
        <v>11710.28</v>
      </c>
      <c r="G26" s="4">
        <v>11710.28</v>
      </c>
      <c r="H26" s="4">
        <v>11710.28</v>
      </c>
      <c r="I26" s="4">
        <v>11710.28</v>
      </c>
      <c r="J26" s="4">
        <v>11710.28</v>
      </c>
      <c r="K26" s="4">
        <v>11710.28</v>
      </c>
      <c r="L26" s="4">
        <v>11710.28</v>
      </c>
      <c r="M26" s="4">
        <v>11710.28</v>
      </c>
      <c r="N26" s="4">
        <v>11710.28</v>
      </c>
      <c r="O26" s="4">
        <v>140523.35999999999</v>
      </c>
    </row>
    <row r="27" spans="2:15" x14ac:dyDescent="0.25">
      <c r="B27" s="3" t="s">
        <v>18</v>
      </c>
      <c r="C27" s="4">
        <v>11710.28</v>
      </c>
      <c r="D27" s="4">
        <v>11710.28</v>
      </c>
      <c r="E27" s="4">
        <v>11710.28</v>
      </c>
      <c r="F27" s="4">
        <v>11710.28</v>
      </c>
      <c r="G27" s="4">
        <v>11710.28</v>
      </c>
      <c r="H27" s="4">
        <v>11710.28</v>
      </c>
      <c r="I27" s="4">
        <v>11710.28</v>
      </c>
      <c r="J27" s="4">
        <v>11710.28</v>
      </c>
      <c r="K27" s="4">
        <v>11710.28</v>
      </c>
      <c r="L27" s="4">
        <v>11710.28</v>
      </c>
      <c r="M27" s="4">
        <v>11710.28</v>
      </c>
      <c r="N27" s="4">
        <v>11710.28</v>
      </c>
      <c r="O27" s="4">
        <v>140523.35999999999</v>
      </c>
    </row>
    <row r="28" spans="2:15" x14ac:dyDescent="0.25">
      <c r="B28" s="3" t="s">
        <v>19</v>
      </c>
      <c r="C28" s="4">
        <v>11710.28</v>
      </c>
      <c r="D28" s="4">
        <v>11710.28</v>
      </c>
      <c r="E28" s="4">
        <v>11710.28</v>
      </c>
      <c r="F28" s="4">
        <v>11710.28</v>
      </c>
      <c r="G28" s="4">
        <v>11710.28</v>
      </c>
      <c r="H28" s="4">
        <v>11710.28</v>
      </c>
      <c r="I28" s="4">
        <v>11710.28</v>
      </c>
      <c r="J28" s="4">
        <v>11710.28</v>
      </c>
      <c r="K28" s="4">
        <v>11710.28</v>
      </c>
      <c r="L28" s="4">
        <v>11710.28</v>
      </c>
      <c r="M28" s="4">
        <v>11710.28</v>
      </c>
      <c r="N28" s="4">
        <v>11710.28</v>
      </c>
      <c r="O28" s="4">
        <v>140523.35999999999</v>
      </c>
    </row>
    <row r="29" spans="2:15" x14ac:dyDescent="0.25">
      <c r="B29" s="3" t="s">
        <v>12</v>
      </c>
      <c r="C29" s="4">
        <v>10806.57</v>
      </c>
      <c r="D29" s="4">
        <v>10806.57</v>
      </c>
      <c r="E29" s="4">
        <v>10806.57</v>
      </c>
      <c r="F29" s="4">
        <v>10806.57</v>
      </c>
      <c r="G29" s="4">
        <v>10806.57</v>
      </c>
      <c r="H29" s="4">
        <v>10806.57</v>
      </c>
      <c r="I29" s="4">
        <v>10806.57</v>
      </c>
      <c r="J29" s="4">
        <v>10806.57</v>
      </c>
      <c r="K29" s="4">
        <v>10806.57</v>
      </c>
      <c r="L29" s="4">
        <v>10806.57</v>
      </c>
      <c r="M29" s="4">
        <v>10806.57</v>
      </c>
      <c r="N29" s="4">
        <v>10806.57</v>
      </c>
      <c r="O29" s="4">
        <v>129678.84</v>
      </c>
    </row>
    <row r="30" spans="2:15" x14ac:dyDescent="0.25">
      <c r="B30" s="3" t="s">
        <v>14</v>
      </c>
      <c r="C30" s="4">
        <v>11710.28</v>
      </c>
      <c r="D30" s="4">
        <v>11710.28</v>
      </c>
      <c r="E30" s="4">
        <v>11710.28</v>
      </c>
      <c r="F30" s="4">
        <v>11710.28</v>
      </c>
      <c r="G30" s="4">
        <v>11710.28</v>
      </c>
      <c r="H30" s="4">
        <v>11710.28</v>
      </c>
      <c r="I30" s="4">
        <v>11710.28</v>
      </c>
      <c r="J30" s="4">
        <v>11710.28</v>
      </c>
      <c r="K30" s="4">
        <v>11710.28</v>
      </c>
      <c r="L30" s="4">
        <v>11710.28</v>
      </c>
      <c r="M30" s="4">
        <v>11710.28</v>
      </c>
      <c r="N30" s="4">
        <v>11710.28</v>
      </c>
      <c r="O30" s="4">
        <v>140523.35999999999</v>
      </c>
    </row>
    <row r="31" spans="2:15" x14ac:dyDescent="0.25">
      <c r="B31" s="3" t="s">
        <v>21</v>
      </c>
      <c r="C31" s="4">
        <v>11710.28</v>
      </c>
      <c r="D31" s="4">
        <v>11710.28</v>
      </c>
      <c r="E31" s="4">
        <v>11710.28</v>
      </c>
      <c r="F31" s="4">
        <v>11710.28</v>
      </c>
      <c r="G31" s="4">
        <v>11710.28</v>
      </c>
      <c r="H31" s="4">
        <v>11710.28</v>
      </c>
      <c r="I31" s="4">
        <v>11710.28</v>
      </c>
      <c r="J31" s="4">
        <v>11710.28</v>
      </c>
      <c r="K31" s="4">
        <v>11710.28</v>
      </c>
      <c r="L31" s="4">
        <v>11710.28</v>
      </c>
      <c r="M31" s="4">
        <v>11710.28</v>
      </c>
      <c r="N31" s="4">
        <v>11710.28</v>
      </c>
      <c r="O31" s="4">
        <v>140523.35999999999</v>
      </c>
    </row>
    <row r="32" spans="2:15" x14ac:dyDescent="0.25">
      <c r="B32" s="3" t="s">
        <v>17</v>
      </c>
      <c r="C32" s="4">
        <v>11710.28</v>
      </c>
      <c r="D32" s="4">
        <v>11710.28</v>
      </c>
      <c r="E32" s="4">
        <v>11710.28</v>
      </c>
      <c r="F32" s="4">
        <v>11710.28</v>
      </c>
      <c r="G32" s="4">
        <v>11710.28</v>
      </c>
      <c r="H32" s="4">
        <v>11710.28</v>
      </c>
      <c r="I32" s="4">
        <v>11710.28</v>
      </c>
      <c r="J32" s="4">
        <v>11710.28</v>
      </c>
      <c r="K32" s="4">
        <v>11710.28</v>
      </c>
      <c r="L32" s="4">
        <v>11710.28</v>
      </c>
      <c r="M32" s="4">
        <v>11710.28</v>
      </c>
      <c r="N32" s="4">
        <v>11710.28</v>
      </c>
      <c r="O32" s="4">
        <v>140523.35999999999</v>
      </c>
    </row>
    <row r="33" spans="2:15" x14ac:dyDescent="0.25">
      <c r="B33" s="3" t="s">
        <v>13</v>
      </c>
      <c r="C33" s="4">
        <v>11710.28</v>
      </c>
      <c r="D33" s="4">
        <v>11710.28</v>
      </c>
      <c r="E33" s="4">
        <v>11710.28</v>
      </c>
      <c r="F33" s="4">
        <v>11710.28</v>
      </c>
      <c r="G33" s="4">
        <v>11710.28</v>
      </c>
      <c r="H33" s="4">
        <v>11710.28</v>
      </c>
      <c r="I33" s="4">
        <v>11710.28</v>
      </c>
      <c r="J33" s="4">
        <v>11710.28</v>
      </c>
      <c r="K33" s="4">
        <v>11710.28</v>
      </c>
      <c r="L33" s="4">
        <v>11710.28</v>
      </c>
      <c r="M33" s="4">
        <v>11710.28</v>
      </c>
      <c r="N33" s="4">
        <v>11710.28</v>
      </c>
      <c r="O33" s="4">
        <v>140523.35999999999</v>
      </c>
    </row>
    <row r="34" spans="2:15" x14ac:dyDescent="0.25">
      <c r="B34" s="2" t="s">
        <v>47</v>
      </c>
      <c r="C34" s="4">
        <v>52731.91</v>
      </c>
      <c r="D34" s="4">
        <v>52731.91</v>
      </c>
      <c r="E34" s="4">
        <v>52731.91</v>
      </c>
      <c r="F34" s="4">
        <v>52731.91</v>
      </c>
      <c r="G34" s="4">
        <v>52731.91</v>
      </c>
      <c r="H34" s="4">
        <v>54894.080000000002</v>
      </c>
      <c r="I34" s="4">
        <v>53448.43</v>
      </c>
      <c r="J34" s="4">
        <v>52731.91</v>
      </c>
      <c r="K34" s="4">
        <v>52731.91</v>
      </c>
      <c r="L34" s="4">
        <v>52731.91</v>
      </c>
      <c r="M34" s="4">
        <v>52731.91</v>
      </c>
      <c r="N34" s="4">
        <v>55610.6</v>
      </c>
      <c r="O34" s="4">
        <v>638540.30000000005</v>
      </c>
    </row>
    <row r="35" spans="2:15" x14ac:dyDescent="0.25">
      <c r="B35" s="3" t="s">
        <v>10</v>
      </c>
      <c r="C35" s="4">
        <v>8134.11</v>
      </c>
      <c r="D35" s="4">
        <v>8134.11</v>
      </c>
      <c r="E35" s="4">
        <v>8134.11</v>
      </c>
      <c r="F35" s="4">
        <v>8134.11</v>
      </c>
      <c r="G35" s="4">
        <v>8134.11</v>
      </c>
      <c r="H35" s="4">
        <v>8611.7900000000009</v>
      </c>
      <c r="I35" s="4">
        <v>8134.11</v>
      </c>
      <c r="J35" s="4">
        <v>8134.11</v>
      </c>
      <c r="K35" s="4">
        <v>8134.11</v>
      </c>
      <c r="L35" s="4">
        <v>8134.11</v>
      </c>
      <c r="M35" s="4">
        <v>8134.11</v>
      </c>
      <c r="N35" s="4">
        <v>8611.7900000000009</v>
      </c>
      <c r="O35" s="4">
        <v>98564.68</v>
      </c>
    </row>
    <row r="36" spans="2:15" x14ac:dyDescent="0.25">
      <c r="B36" s="3" t="s">
        <v>9</v>
      </c>
      <c r="C36" s="4">
        <v>9396.66</v>
      </c>
      <c r="D36" s="4">
        <v>9396.66</v>
      </c>
      <c r="E36" s="4">
        <v>9396.66</v>
      </c>
      <c r="F36" s="4">
        <v>9396.66</v>
      </c>
      <c r="G36" s="4">
        <v>9396.66</v>
      </c>
      <c r="H36" s="4">
        <v>9993.76</v>
      </c>
      <c r="I36" s="4">
        <v>9396.66</v>
      </c>
      <c r="J36" s="4">
        <v>9396.66</v>
      </c>
      <c r="K36" s="4">
        <v>9396.66</v>
      </c>
      <c r="L36" s="4">
        <v>9396.66</v>
      </c>
      <c r="M36" s="4">
        <v>9396.66</v>
      </c>
      <c r="N36" s="4">
        <v>9993.76</v>
      </c>
      <c r="O36" s="4">
        <v>113954.12</v>
      </c>
    </row>
    <row r="37" spans="2:15" x14ac:dyDescent="0.25">
      <c r="B37" s="3" t="s">
        <v>8</v>
      </c>
      <c r="C37" s="4">
        <v>4469.42</v>
      </c>
      <c r="D37" s="4">
        <v>4469.42</v>
      </c>
      <c r="E37" s="4">
        <v>4469.42</v>
      </c>
      <c r="F37" s="4">
        <v>4469.42</v>
      </c>
      <c r="G37" s="4">
        <v>4469.42</v>
      </c>
      <c r="H37" s="4">
        <v>4469.42</v>
      </c>
      <c r="I37" s="4">
        <v>4469.42</v>
      </c>
      <c r="J37" s="4">
        <v>4469.42</v>
      </c>
      <c r="K37" s="4">
        <v>4469.42</v>
      </c>
      <c r="L37" s="4">
        <v>4469.42</v>
      </c>
      <c r="M37" s="4">
        <v>4469.42</v>
      </c>
      <c r="N37" s="4">
        <v>4469.42</v>
      </c>
      <c r="O37" s="4">
        <v>53633.04</v>
      </c>
    </row>
    <row r="38" spans="2:15" x14ac:dyDescent="0.25">
      <c r="B38" s="3" t="s">
        <v>7</v>
      </c>
      <c r="C38" s="4">
        <v>9735.5</v>
      </c>
      <c r="D38" s="4">
        <v>9735.5</v>
      </c>
      <c r="E38" s="4">
        <v>9735.5</v>
      </c>
      <c r="F38" s="4">
        <v>9735.5</v>
      </c>
      <c r="G38" s="4">
        <v>9735.5</v>
      </c>
      <c r="H38" s="4">
        <v>9735.5</v>
      </c>
      <c r="I38" s="4">
        <v>10452.02</v>
      </c>
      <c r="J38" s="4">
        <v>9735.5</v>
      </c>
      <c r="K38" s="4">
        <v>9735.5</v>
      </c>
      <c r="L38" s="4">
        <v>9735.5</v>
      </c>
      <c r="M38" s="4">
        <v>9735.5</v>
      </c>
      <c r="N38" s="4">
        <v>10452.02</v>
      </c>
      <c r="O38" s="4">
        <v>118259.04</v>
      </c>
    </row>
    <row r="39" spans="2:15" x14ac:dyDescent="0.25">
      <c r="B39" s="3" t="s">
        <v>5</v>
      </c>
      <c r="C39" s="4">
        <v>7750</v>
      </c>
      <c r="D39" s="4">
        <v>7750</v>
      </c>
      <c r="E39" s="4">
        <v>7750</v>
      </c>
      <c r="F39" s="4">
        <v>7750</v>
      </c>
      <c r="G39" s="4">
        <v>7750</v>
      </c>
      <c r="H39" s="4">
        <v>7750</v>
      </c>
      <c r="I39" s="4">
        <v>7750</v>
      </c>
      <c r="J39" s="4">
        <v>7750</v>
      </c>
      <c r="K39" s="4">
        <v>7750</v>
      </c>
      <c r="L39" s="4">
        <v>7750</v>
      </c>
      <c r="M39" s="4">
        <v>7750</v>
      </c>
      <c r="N39" s="4">
        <v>7750</v>
      </c>
      <c r="O39" s="4">
        <v>93000</v>
      </c>
    </row>
    <row r="40" spans="2:15" x14ac:dyDescent="0.25">
      <c r="B40" s="3" t="s">
        <v>6</v>
      </c>
      <c r="C40" s="4">
        <v>13246.22</v>
      </c>
      <c r="D40" s="4">
        <v>13246.22</v>
      </c>
      <c r="E40" s="4">
        <v>13246.22</v>
      </c>
      <c r="F40" s="4">
        <v>13246.22</v>
      </c>
      <c r="G40" s="4">
        <v>13246.22</v>
      </c>
      <c r="H40" s="4">
        <v>14333.61</v>
      </c>
      <c r="I40" s="4">
        <v>13246.22</v>
      </c>
      <c r="J40" s="4">
        <v>13246.22</v>
      </c>
      <c r="K40" s="4">
        <v>13246.22</v>
      </c>
      <c r="L40" s="4">
        <v>13246.22</v>
      </c>
      <c r="M40" s="4">
        <v>13246.22</v>
      </c>
      <c r="N40" s="4">
        <v>14333.61</v>
      </c>
      <c r="O40" s="4">
        <v>161129.42000000001</v>
      </c>
    </row>
    <row r="41" spans="2:15" x14ac:dyDescent="0.25">
      <c r="B41" s="2" t="s">
        <v>51</v>
      </c>
      <c r="C41" s="4">
        <v>39450.46</v>
      </c>
      <c r="D41" s="4">
        <v>39450.46</v>
      </c>
      <c r="E41" s="4">
        <v>39450.46</v>
      </c>
      <c r="F41" s="4">
        <v>39450.46</v>
      </c>
      <c r="G41" s="4">
        <v>39450.46</v>
      </c>
      <c r="H41" s="4">
        <v>39450.46</v>
      </c>
      <c r="I41" s="4">
        <v>39450.46</v>
      </c>
      <c r="J41" s="4">
        <v>39450.46</v>
      </c>
      <c r="K41" s="4">
        <v>39450.46</v>
      </c>
      <c r="L41" s="4">
        <v>39450.46</v>
      </c>
      <c r="M41" s="4">
        <v>39450.46</v>
      </c>
      <c r="N41" s="4">
        <v>39450.46</v>
      </c>
      <c r="O41" s="4">
        <v>473405.52</v>
      </c>
    </row>
    <row r="42" spans="2:15" x14ac:dyDescent="0.25">
      <c r="B42" s="3" t="s">
        <v>46</v>
      </c>
      <c r="C42" s="4">
        <v>11710.28</v>
      </c>
      <c r="D42" s="4">
        <v>11710.28</v>
      </c>
      <c r="E42" s="4">
        <v>11710.28</v>
      </c>
      <c r="F42" s="4">
        <v>11710.28</v>
      </c>
      <c r="G42" s="4">
        <v>11710.28</v>
      </c>
      <c r="H42" s="4">
        <v>11710.28</v>
      </c>
      <c r="I42" s="4">
        <v>11710.28</v>
      </c>
      <c r="J42" s="4">
        <v>11710.28</v>
      </c>
      <c r="K42" s="4">
        <v>11710.28</v>
      </c>
      <c r="L42" s="4">
        <v>11710.28</v>
      </c>
      <c r="M42" s="4">
        <v>11710.28</v>
      </c>
      <c r="N42" s="4">
        <v>11710.28</v>
      </c>
      <c r="O42" s="4">
        <v>140523.35999999999</v>
      </c>
    </row>
    <row r="43" spans="2:15" x14ac:dyDescent="0.25">
      <c r="B43" s="3" t="s">
        <v>45</v>
      </c>
      <c r="C43" s="4">
        <v>10806.57</v>
      </c>
      <c r="D43" s="4">
        <v>10806.57</v>
      </c>
      <c r="E43" s="4">
        <v>10806.57</v>
      </c>
      <c r="F43" s="4">
        <v>10806.57</v>
      </c>
      <c r="G43" s="4">
        <v>10806.57</v>
      </c>
      <c r="H43" s="4">
        <v>10806.57</v>
      </c>
      <c r="I43" s="4">
        <v>10806.57</v>
      </c>
      <c r="J43" s="4">
        <v>10806.57</v>
      </c>
      <c r="K43" s="4">
        <v>10806.57</v>
      </c>
      <c r="L43" s="4">
        <v>10806.57</v>
      </c>
      <c r="M43" s="4">
        <v>10806.57</v>
      </c>
      <c r="N43" s="4">
        <v>10806.57</v>
      </c>
      <c r="O43" s="4">
        <v>129678.84</v>
      </c>
    </row>
    <row r="44" spans="2:15" x14ac:dyDescent="0.25">
      <c r="B44" s="3" t="s">
        <v>44</v>
      </c>
      <c r="C44" s="4">
        <v>16933.61</v>
      </c>
      <c r="D44" s="4">
        <v>16933.61</v>
      </c>
      <c r="E44" s="4">
        <v>16933.61</v>
      </c>
      <c r="F44" s="4">
        <v>16933.61</v>
      </c>
      <c r="G44" s="4">
        <v>16933.61</v>
      </c>
      <c r="H44" s="4">
        <v>16933.61</v>
      </c>
      <c r="I44" s="4">
        <v>16933.61</v>
      </c>
      <c r="J44" s="4">
        <v>16933.61</v>
      </c>
      <c r="K44" s="4">
        <v>16933.61</v>
      </c>
      <c r="L44" s="4">
        <v>16933.61</v>
      </c>
      <c r="M44" s="4">
        <v>16933.61</v>
      </c>
      <c r="N44" s="4">
        <v>16933.61</v>
      </c>
      <c r="O44" s="4">
        <v>203203.32</v>
      </c>
    </row>
    <row r="45" spans="2:15" x14ac:dyDescent="0.25">
      <c r="B45" s="2" t="s">
        <v>50</v>
      </c>
      <c r="C45" s="4">
        <v>133132.70000000001</v>
      </c>
      <c r="D45" s="4">
        <v>133132.70000000001</v>
      </c>
      <c r="E45" s="4">
        <v>133132.70000000001</v>
      </c>
      <c r="F45" s="4">
        <v>133132.70000000001</v>
      </c>
      <c r="G45" s="4">
        <v>133132.70000000001</v>
      </c>
      <c r="H45" s="4">
        <v>133132.70000000001</v>
      </c>
      <c r="I45" s="4">
        <v>133132.70000000001</v>
      </c>
      <c r="J45" s="4">
        <v>133132.70000000001</v>
      </c>
      <c r="K45" s="4">
        <v>133132.70000000001</v>
      </c>
      <c r="L45" s="4">
        <v>133132.70000000001</v>
      </c>
      <c r="M45" s="4">
        <v>133132.70000000001</v>
      </c>
      <c r="N45" s="4">
        <v>133132.70000000001</v>
      </c>
      <c r="O45" s="4">
        <v>1597592.4</v>
      </c>
    </row>
    <row r="46" spans="2:15" x14ac:dyDescent="0.25">
      <c r="B46" s="3" t="s">
        <v>34</v>
      </c>
      <c r="C46" s="4">
        <v>10806.57</v>
      </c>
      <c r="D46" s="4">
        <v>10806.57</v>
      </c>
      <c r="E46" s="4">
        <v>10806.57</v>
      </c>
      <c r="F46" s="4">
        <v>10806.57</v>
      </c>
      <c r="G46" s="4">
        <v>10806.57</v>
      </c>
      <c r="H46" s="4">
        <v>10806.57</v>
      </c>
      <c r="I46" s="4">
        <v>10806.57</v>
      </c>
      <c r="J46" s="4">
        <v>10806.57</v>
      </c>
      <c r="K46" s="4">
        <v>10806.57</v>
      </c>
      <c r="L46" s="4">
        <v>10806.57</v>
      </c>
      <c r="M46" s="4">
        <v>10806.57</v>
      </c>
      <c r="N46" s="4">
        <v>10806.57</v>
      </c>
      <c r="O46" s="4">
        <v>129678.84</v>
      </c>
    </row>
    <row r="47" spans="2:15" x14ac:dyDescent="0.25">
      <c r="B47" s="3" t="s">
        <v>36</v>
      </c>
      <c r="C47" s="4">
        <v>11710.28</v>
      </c>
      <c r="D47" s="4">
        <v>11710.28</v>
      </c>
      <c r="E47" s="4">
        <v>11710.28</v>
      </c>
      <c r="F47" s="4">
        <v>11710.28</v>
      </c>
      <c r="G47" s="4">
        <v>11710.28</v>
      </c>
      <c r="H47" s="4">
        <v>11710.28</v>
      </c>
      <c r="I47" s="4">
        <v>11710.28</v>
      </c>
      <c r="J47" s="4">
        <v>11710.28</v>
      </c>
      <c r="K47" s="4">
        <v>11710.28</v>
      </c>
      <c r="L47" s="4">
        <v>11710.28</v>
      </c>
      <c r="M47" s="4">
        <v>11710.28</v>
      </c>
      <c r="N47" s="4">
        <v>11710.28</v>
      </c>
      <c r="O47" s="4">
        <v>140523.35999999999</v>
      </c>
    </row>
    <row r="48" spans="2:15" x14ac:dyDescent="0.25">
      <c r="B48" s="3" t="s">
        <v>42</v>
      </c>
      <c r="C48" s="4">
        <v>11710.28</v>
      </c>
      <c r="D48" s="4">
        <v>11710.28</v>
      </c>
      <c r="E48" s="4">
        <v>11710.28</v>
      </c>
      <c r="F48" s="4">
        <v>11710.28</v>
      </c>
      <c r="G48" s="4">
        <v>11710.28</v>
      </c>
      <c r="H48" s="4">
        <v>11710.28</v>
      </c>
      <c r="I48" s="4">
        <v>11710.28</v>
      </c>
      <c r="J48" s="4">
        <v>11710.28</v>
      </c>
      <c r="K48" s="4">
        <v>11710.28</v>
      </c>
      <c r="L48" s="4">
        <v>11710.28</v>
      </c>
      <c r="M48" s="4">
        <v>11710.28</v>
      </c>
      <c r="N48" s="4">
        <v>11710.28</v>
      </c>
      <c r="O48" s="4">
        <v>140523.35999999999</v>
      </c>
    </row>
    <row r="49" spans="2:15" x14ac:dyDescent="0.25">
      <c r="B49" s="3" t="s">
        <v>35</v>
      </c>
      <c r="C49" s="4">
        <v>11710.28</v>
      </c>
      <c r="D49" s="4">
        <v>11710.28</v>
      </c>
      <c r="E49" s="4">
        <v>11710.28</v>
      </c>
      <c r="F49" s="4">
        <v>11710.28</v>
      </c>
      <c r="G49" s="4">
        <v>11710.28</v>
      </c>
      <c r="H49" s="4">
        <v>11710.28</v>
      </c>
      <c r="I49" s="4">
        <v>11710.28</v>
      </c>
      <c r="J49" s="4">
        <v>11710.28</v>
      </c>
      <c r="K49" s="4">
        <v>11710.28</v>
      </c>
      <c r="L49" s="4">
        <v>11710.28</v>
      </c>
      <c r="M49" s="4">
        <v>11710.28</v>
      </c>
      <c r="N49" s="4">
        <v>11710.28</v>
      </c>
      <c r="O49" s="4">
        <v>140523.35999999999</v>
      </c>
    </row>
    <row r="50" spans="2:15" x14ac:dyDescent="0.25">
      <c r="B50" s="3" t="s">
        <v>37</v>
      </c>
      <c r="C50" s="4">
        <v>11710.28</v>
      </c>
      <c r="D50" s="4">
        <v>11710.28</v>
      </c>
      <c r="E50" s="4">
        <v>11710.28</v>
      </c>
      <c r="F50" s="4">
        <v>11710.28</v>
      </c>
      <c r="G50" s="4">
        <v>11710.28</v>
      </c>
      <c r="H50" s="4">
        <v>11710.28</v>
      </c>
      <c r="I50" s="4">
        <v>11710.28</v>
      </c>
      <c r="J50" s="4">
        <v>11710.28</v>
      </c>
      <c r="K50" s="4">
        <v>11710.28</v>
      </c>
      <c r="L50" s="4">
        <v>11710.28</v>
      </c>
      <c r="M50" s="4">
        <v>11710.28</v>
      </c>
      <c r="N50" s="4">
        <v>11710.28</v>
      </c>
      <c r="O50" s="4">
        <v>140523.35999999999</v>
      </c>
    </row>
    <row r="51" spans="2:15" x14ac:dyDescent="0.25">
      <c r="B51" s="3" t="s">
        <v>41</v>
      </c>
      <c r="C51" s="4">
        <v>11710.28</v>
      </c>
      <c r="D51" s="4">
        <v>11710.28</v>
      </c>
      <c r="E51" s="4">
        <v>11710.28</v>
      </c>
      <c r="F51" s="4">
        <v>11710.28</v>
      </c>
      <c r="G51" s="4">
        <v>11710.28</v>
      </c>
      <c r="H51" s="4">
        <v>11710.28</v>
      </c>
      <c r="I51" s="4">
        <v>11710.28</v>
      </c>
      <c r="J51" s="4">
        <v>11710.28</v>
      </c>
      <c r="K51" s="4">
        <v>11710.28</v>
      </c>
      <c r="L51" s="4">
        <v>11710.28</v>
      </c>
      <c r="M51" s="4">
        <v>11710.28</v>
      </c>
      <c r="N51" s="4">
        <v>11710.28</v>
      </c>
      <c r="O51" s="4">
        <v>140523.35999999999</v>
      </c>
    </row>
    <row r="52" spans="2:15" x14ac:dyDescent="0.25">
      <c r="B52" s="3" t="s">
        <v>43</v>
      </c>
      <c r="C52" s="4">
        <v>11710.28</v>
      </c>
      <c r="D52" s="4">
        <v>11710.28</v>
      </c>
      <c r="E52" s="4">
        <v>11710.28</v>
      </c>
      <c r="F52" s="4">
        <v>11710.28</v>
      </c>
      <c r="G52" s="4">
        <v>11710.28</v>
      </c>
      <c r="H52" s="4">
        <v>11710.28</v>
      </c>
      <c r="I52" s="4">
        <v>11710.28</v>
      </c>
      <c r="J52" s="4">
        <v>11710.28</v>
      </c>
      <c r="K52" s="4">
        <v>11710.28</v>
      </c>
      <c r="L52" s="4">
        <v>11710.28</v>
      </c>
      <c r="M52" s="4">
        <v>11710.28</v>
      </c>
      <c r="N52" s="4">
        <v>11710.28</v>
      </c>
      <c r="O52" s="4">
        <v>140523.35999999999</v>
      </c>
    </row>
    <row r="53" spans="2:15" x14ac:dyDescent="0.25">
      <c r="B53" s="3" t="s">
        <v>39</v>
      </c>
      <c r="C53" s="4">
        <v>11710.28</v>
      </c>
      <c r="D53" s="4">
        <v>11710.28</v>
      </c>
      <c r="E53" s="4">
        <v>11710.28</v>
      </c>
      <c r="F53" s="4">
        <v>11710.28</v>
      </c>
      <c r="G53" s="4">
        <v>11710.28</v>
      </c>
      <c r="H53" s="4">
        <v>11710.28</v>
      </c>
      <c r="I53" s="4">
        <v>11710.28</v>
      </c>
      <c r="J53" s="4">
        <v>11710.28</v>
      </c>
      <c r="K53" s="4">
        <v>11710.28</v>
      </c>
      <c r="L53" s="4">
        <v>11710.28</v>
      </c>
      <c r="M53" s="4">
        <v>11710.28</v>
      </c>
      <c r="N53" s="4">
        <v>11710.28</v>
      </c>
      <c r="O53" s="4">
        <v>140523.35999999999</v>
      </c>
    </row>
    <row r="54" spans="2:15" x14ac:dyDescent="0.25">
      <c r="B54" s="3" t="s">
        <v>38</v>
      </c>
      <c r="C54" s="4">
        <v>11710.28</v>
      </c>
      <c r="D54" s="4">
        <v>11710.28</v>
      </c>
      <c r="E54" s="4">
        <v>11710.28</v>
      </c>
      <c r="F54" s="4">
        <v>11710.28</v>
      </c>
      <c r="G54" s="4">
        <v>11710.28</v>
      </c>
      <c r="H54" s="4">
        <v>11710.28</v>
      </c>
      <c r="I54" s="4">
        <v>11710.28</v>
      </c>
      <c r="J54" s="4">
        <v>11710.28</v>
      </c>
      <c r="K54" s="4">
        <v>11710.28</v>
      </c>
      <c r="L54" s="4">
        <v>11710.28</v>
      </c>
      <c r="M54" s="4">
        <v>11710.28</v>
      </c>
      <c r="N54" s="4">
        <v>11710.28</v>
      </c>
      <c r="O54" s="4">
        <v>140523.35999999999</v>
      </c>
    </row>
    <row r="55" spans="2:15" x14ac:dyDescent="0.25">
      <c r="B55" s="3" t="s">
        <v>40</v>
      </c>
      <c r="C55" s="4">
        <v>11710.28</v>
      </c>
      <c r="D55" s="4">
        <v>11710.28</v>
      </c>
      <c r="E55" s="4">
        <v>11710.28</v>
      </c>
      <c r="F55" s="4">
        <v>11710.28</v>
      </c>
      <c r="G55" s="4">
        <v>11710.28</v>
      </c>
      <c r="H55" s="4">
        <v>11710.28</v>
      </c>
      <c r="I55" s="4">
        <v>11710.28</v>
      </c>
      <c r="J55" s="4">
        <v>11710.28</v>
      </c>
      <c r="K55" s="4">
        <v>11710.28</v>
      </c>
      <c r="L55" s="4">
        <v>11710.28</v>
      </c>
      <c r="M55" s="4">
        <v>11710.28</v>
      </c>
      <c r="N55" s="4">
        <v>11710.28</v>
      </c>
      <c r="O55" s="4">
        <v>140523.35999999999</v>
      </c>
    </row>
    <row r="56" spans="2:15" x14ac:dyDescent="0.25">
      <c r="B56" s="3" t="s">
        <v>33</v>
      </c>
      <c r="C56" s="4">
        <v>16933.61</v>
      </c>
      <c r="D56" s="4">
        <v>16933.61</v>
      </c>
      <c r="E56" s="4">
        <v>16933.61</v>
      </c>
      <c r="F56" s="4">
        <v>16933.61</v>
      </c>
      <c r="G56" s="4">
        <v>16933.61</v>
      </c>
      <c r="H56" s="4">
        <v>16933.61</v>
      </c>
      <c r="I56" s="4">
        <v>16933.61</v>
      </c>
      <c r="J56" s="4">
        <v>16933.61</v>
      </c>
      <c r="K56" s="4">
        <v>16933.61</v>
      </c>
      <c r="L56" s="4">
        <v>16933.61</v>
      </c>
      <c r="M56" s="4">
        <v>16933.61</v>
      </c>
      <c r="N56" s="4">
        <v>16933.61</v>
      </c>
      <c r="O56" s="4">
        <v>203203.32</v>
      </c>
    </row>
    <row r="57" spans="2:15" x14ac:dyDescent="0.25">
      <c r="B57" s="2" t="s">
        <v>3</v>
      </c>
      <c r="C57" s="4">
        <v>491580.47</v>
      </c>
      <c r="D57" s="4">
        <v>491580.47</v>
      </c>
      <c r="E57" s="4">
        <v>491580.47</v>
      </c>
      <c r="F57" s="4">
        <v>491580.47</v>
      </c>
      <c r="G57" s="4">
        <v>491580.47</v>
      </c>
      <c r="H57" s="4">
        <v>494578.58</v>
      </c>
      <c r="I57" s="4">
        <v>492296.99</v>
      </c>
      <c r="J57" s="4">
        <v>491580.47</v>
      </c>
      <c r="K57" s="4">
        <v>491580.47</v>
      </c>
      <c r="L57" s="4">
        <v>493013.51</v>
      </c>
      <c r="M57" s="4">
        <v>492344.76</v>
      </c>
      <c r="N57" s="4">
        <v>494459.16</v>
      </c>
      <c r="O57" s="4">
        <v>5907756.29</v>
      </c>
    </row>
  </sheetData>
  <pageMargins left="0.70866141732283472" right="0.70866141732283472" top="0.78740157480314965" bottom="0.78740157480314965" header="0.31496062992125984" footer="0.31496062992125984"/>
  <pageSetup paperSize="9" scale="5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Reportlauf_Gehalt_PowerPivot">
                <anchor moveWithCells="1" sizeWithCells="1">
                  <from>
                    <xdr:col>0</xdr:col>
                    <xdr:colOff>114300</xdr:colOff>
                    <xdr:row>0</xdr:row>
                    <xdr:rowOff>57150</xdr:rowOff>
                  </from>
                  <to>
                    <xdr:col>0</xdr:col>
                    <xdr:colOff>2390775</xdr:colOff>
                    <xdr:row>1</xdr:row>
                    <xdr:rowOff>114300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1</vt:i4>
      </vt:variant>
    </vt:vector>
  </HeadingPairs>
  <TitlesOfParts>
    <vt:vector size="2" baseType="lpstr">
      <vt:lpstr>Gehalt</vt:lpstr>
      <vt:lpstr>Gehalt!Druckbereich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2017-10-12T08:35:13Z</cp:lastPrinted>
  <dcterms:created xsi:type="dcterms:W3CDTF">2017-09-24T15:43:06Z</dcterms:created>
  <dcterms:modified xsi:type="dcterms:W3CDTF">2017-10-12T08:35:32Z</dcterms:modified>
</cp:coreProperties>
</file>