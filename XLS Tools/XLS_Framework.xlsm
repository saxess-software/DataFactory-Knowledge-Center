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8800" windowHeight="14235" tabRatio="737" firstSheet="1" activeTab="1"/>
  </bookViews>
  <sheets>
    <sheet name="Admin" sheetId="123" state="hidden" r:id="rId1"/>
    <sheet name="Start" sheetId="121" r:id="rId2"/>
    <sheet name="xls2sql_Master" sheetId="120" state="hidden" r:id="rId3"/>
    <sheet name="pq2sql_Master" sheetId="122" state="hidden" r:id="rId4"/>
    <sheet name="Uplink_nach_Template" sheetId="131" r:id="rId5"/>
    <sheet name="PF_Uplink_Values" sheetId="127" state="hidden" r:id="rId6"/>
    <sheet name="PF_Uplink_Products" sheetId="124" state="hidden" r:id="rId7"/>
    <sheet name="PF_Uplink_ProductLines" sheetId="128" state="hidden" r:id="rId8"/>
    <sheet name="PF_Uplink_Factories" sheetId="129" state="hidden" r:id="rId9"/>
    <sheet name="Parameter" sheetId="126" state="hidden" r:id="rId10"/>
    <sheet name="Blattvorlage" sheetId="2" state="hidden" r:id="rId11"/>
    <sheet name="Pivot" sheetId="102" state="hidden" r:id="rId12"/>
    <sheet name="i18n" sheetId="114" state="hidden" r:id="rId13"/>
    <sheet name="DB" sheetId="5" state="hidden" r:id="rId14"/>
  </sheets>
  <functionGroups builtInGroupCount="18"/>
  <definedNames>
    <definedName name="_._Dev_Import_sx_Gerd" localSheetId="8" hidden="1">PF_Uplink_Factories!#REF!</definedName>
    <definedName name="_._Dev_Import_sx_Gerd" localSheetId="7" hidden="1">PF_Uplink_ProductLines!#REF!</definedName>
    <definedName name="_._Dev_Import_sx_Gerd" localSheetId="6" hidden="1">PF_Uplink_Products!#REF!</definedName>
    <definedName name="_._Dev_Import_sx_Gerd" localSheetId="5" hidden="1">PF_Uplink_Values!#REF!</definedName>
    <definedName name="_._Dev_Import_sx_Gerd" localSheetId="3" hidden="1">pq2sql_Master!#REF!</definedName>
    <definedName name="_._Dev_Import_sx_Gerd" localSheetId="4" hidden="1">Uplink_nach_Template!#REF!</definedName>
    <definedName name="_._Dev_Import_sx_Gerd" localSheetId="2" hidden="1">xls2sql_Master!#REF!</definedName>
    <definedName name="_._Dev_Import_sx_Gerd2_10" localSheetId="8" hidden="1">PF_Uplink_Factories!#REF!</definedName>
    <definedName name="_._Dev_Import_sx_Gerd2_10" localSheetId="7" hidden="1">PF_Uplink_ProductLines!#REF!</definedName>
    <definedName name="_._Dev_Import_sx_Gerd2_10" localSheetId="6" hidden="1">PF_Uplink_Products!#REF!</definedName>
    <definedName name="_._Dev_Import_sx_Gerd2_10" localSheetId="5" hidden="1">PF_Uplink_Values!#REF!</definedName>
    <definedName name="_._Dev_Import_sx_Gerd2_10" localSheetId="3" hidden="1">pq2sql_Master!#REF!</definedName>
    <definedName name="_._Dev_Import_sx_Gerd2_10" localSheetId="4" hidden="1">Uplink_nach_Template!#REF!</definedName>
    <definedName name="_._Dev_Import_sx_Gerd2_10" localSheetId="2" hidden="1">xls2sql_Master!#REF!</definedName>
    <definedName name="_._Dev_Import_sx_Gerd2_11" localSheetId="8" hidden="1">PF_Uplink_Factories!#REF!</definedName>
    <definedName name="_._Dev_Import_sx_Gerd2_11" localSheetId="7" hidden="1">PF_Uplink_ProductLines!#REF!</definedName>
    <definedName name="_._Dev_Import_sx_Gerd2_11" localSheetId="6" hidden="1">PF_Uplink_Products!#REF!</definedName>
    <definedName name="_._Dev_Import_sx_Gerd2_11" localSheetId="5" hidden="1">PF_Uplink_Values!#REF!</definedName>
    <definedName name="_._Dev_Import_sx_Gerd2_11" localSheetId="3" hidden="1">pq2sql_Master!#REF!</definedName>
    <definedName name="_._Dev_Import_sx_Gerd2_11" localSheetId="4" hidden="1">Uplink_nach_Template!#REF!</definedName>
    <definedName name="_._Dev_Import_sx_Gerd2_11" localSheetId="2" hidden="1">xls2sql_Master!#REF!</definedName>
    <definedName name="_._Dev_Import_sx_Gerd2_12" localSheetId="8" hidden="1">PF_Uplink_Factories!#REF!</definedName>
    <definedName name="_._Dev_Import_sx_Gerd2_12" localSheetId="7" hidden="1">PF_Uplink_ProductLines!#REF!</definedName>
    <definedName name="_._Dev_Import_sx_Gerd2_12" localSheetId="6" hidden="1">PF_Uplink_Products!#REF!</definedName>
    <definedName name="_._Dev_Import_sx_Gerd2_12" localSheetId="5" hidden="1">PF_Uplink_Values!#REF!</definedName>
    <definedName name="_._Dev_Import_sx_Gerd2_12" localSheetId="3" hidden="1">pq2sql_Master!#REF!</definedName>
    <definedName name="_._Dev_Import_sx_Gerd2_12" localSheetId="4" hidden="1">Uplink_nach_Template!#REF!</definedName>
    <definedName name="_._Dev_Import_sx_Gerd2_12" localSheetId="2" hidden="1">xls2sql_Master!#REF!</definedName>
    <definedName name="_._Dev_Import_sx_Gerd2_13" localSheetId="8" hidden="1">PF_Uplink_Factories!#REF!</definedName>
    <definedName name="_._Dev_Import_sx_Gerd2_13" localSheetId="7" hidden="1">PF_Uplink_ProductLines!#REF!</definedName>
    <definedName name="_._Dev_Import_sx_Gerd2_13" localSheetId="6" hidden="1">PF_Uplink_Products!#REF!</definedName>
    <definedName name="_._Dev_Import_sx_Gerd2_13" localSheetId="5" hidden="1">PF_Uplink_Values!#REF!</definedName>
    <definedName name="_._Dev_Import_sx_Gerd2_13" localSheetId="3" hidden="1">pq2sql_Master!#REF!</definedName>
    <definedName name="_._Dev_Import_sx_Gerd2_13" localSheetId="4" hidden="1">Uplink_nach_Template!#REF!</definedName>
    <definedName name="_._Dev_Import_sx_Gerd2_13" localSheetId="2" hidden="1">xls2sql_Master!#REF!</definedName>
    <definedName name="_._Dev_Import_sx_Gerd2_14" localSheetId="8" hidden="1">PF_Uplink_Factories!#REF!</definedName>
    <definedName name="_._Dev_Import_sx_Gerd2_14" localSheetId="7" hidden="1">PF_Uplink_ProductLines!#REF!</definedName>
    <definedName name="_._Dev_Import_sx_Gerd2_14" localSheetId="6" hidden="1">PF_Uplink_Products!#REF!</definedName>
    <definedName name="_._Dev_Import_sx_Gerd2_14" localSheetId="5" hidden="1">PF_Uplink_Values!#REF!</definedName>
    <definedName name="_._Dev_Import_sx_Gerd2_14" localSheetId="3" hidden="1">pq2sql_Master!#REF!</definedName>
    <definedName name="_._Dev_Import_sx_Gerd2_14" localSheetId="4" hidden="1">Uplink_nach_Template!#REF!</definedName>
    <definedName name="_._Dev_Import_sx_Gerd2_14" localSheetId="2" hidden="1">xls2sql_Master!#REF!</definedName>
    <definedName name="_._Dev_Import_sx_Gerd2_15" localSheetId="8" hidden="1">PF_Uplink_Factories!#REF!</definedName>
    <definedName name="_._Dev_Import_sx_Gerd2_15" localSheetId="7" hidden="1">PF_Uplink_ProductLines!#REF!</definedName>
    <definedName name="_._Dev_Import_sx_Gerd2_15" localSheetId="6" hidden="1">PF_Uplink_Products!#REF!</definedName>
    <definedName name="_._Dev_Import_sx_Gerd2_15" localSheetId="5" hidden="1">PF_Uplink_Values!#REF!</definedName>
    <definedName name="_._Dev_Import_sx_Gerd2_15" localSheetId="3" hidden="1">pq2sql_Master!#REF!</definedName>
    <definedName name="_._Dev_Import_sx_Gerd2_15" localSheetId="4" hidden="1">Uplink_nach_Template!#REF!</definedName>
    <definedName name="_._Dev_Import_sx_Gerd2_15" localSheetId="2" hidden="1">xls2sql_Master!#REF!</definedName>
    <definedName name="_._Dev_Import_sx_Gerd2_3" localSheetId="2" hidden="1">xls2sql_Master!$G$9:$G$10</definedName>
    <definedName name="_._Dev_Import_sx_Gerd2_4" localSheetId="8" hidden="1">PF_Uplink_Factories!#REF!</definedName>
    <definedName name="_._Dev_Import_sx_Gerd2_4" localSheetId="7" hidden="1">PF_Uplink_ProductLines!#REF!</definedName>
    <definedName name="_._Dev_Import_sx_Gerd2_4" localSheetId="6" hidden="1">PF_Uplink_Products!#REF!</definedName>
    <definedName name="_._Dev_Import_sx_Gerd2_4" localSheetId="5" hidden="1">PF_Uplink_Values!#REF!</definedName>
    <definedName name="_._Dev_Import_sx_Gerd2_4" localSheetId="3" hidden="1">pq2sql_Master!#REF!</definedName>
    <definedName name="_._Dev_Import_sx_Gerd2_4" localSheetId="4" hidden="1">Uplink_nach_Template!#REF!</definedName>
    <definedName name="_._Dev_Import_sx_Gerd2_4" localSheetId="2" hidden="1">xls2sql_Master!#REF!</definedName>
    <definedName name="_._Dev_Import_sx_Gerd2_5" localSheetId="8" hidden="1">PF_Uplink_Factories!#REF!</definedName>
    <definedName name="_._Dev_Import_sx_Gerd2_5" localSheetId="7" hidden="1">PF_Uplink_ProductLines!#REF!</definedName>
    <definedName name="_._Dev_Import_sx_Gerd2_5" localSheetId="6" hidden="1">PF_Uplink_Products!#REF!</definedName>
    <definedName name="_._Dev_Import_sx_Gerd2_5" localSheetId="5" hidden="1">PF_Uplink_Values!#REF!</definedName>
    <definedName name="_._Dev_Import_sx_Gerd2_5" localSheetId="3" hidden="1">pq2sql_Master!#REF!</definedName>
    <definedName name="_._Dev_Import_sx_Gerd2_5" localSheetId="4" hidden="1">Uplink_nach_Template!#REF!</definedName>
    <definedName name="_._Dev_Import_sx_Gerd2_5" localSheetId="2" hidden="1">xls2sql_Master!#REF!</definedName>
    <definedName name="_._Dev_Import_sx_Gerd2_6" localSheetId="8" hidden="1">PF_Uplink_Factories!#REF!</definedName>
    <definedName name="_._Dev_Import_sx_Gerd2_6" localSheetId="7" hidden="1">PF_Uplink_ProductLines!#REF!</definedName>
    <definedName name="_._Dev_Import_sx_Gerd2_6" localSheetId="6" hidden="1">PF_Uplink_Products!#REF!</definedName>
    <definedName name="_._Dev_Import_sx_Gerd2_6" localSheetId="5" hidden="1">PF_Uplink_Values!#REF!</definedName>
    <definedName name="_._Dev_Import_sx_Gerd2_6" localSheetId="3" hidden="1">pq2sql_Master!#REF!</definedName>
    <definedName name="_._Dev_Import_sx_Gerd2_6" localSheetId="4" hidden="1">Uplink_nach_Template!#REF!</definedName>
    <definedName name="_._Dev_Import_sx_Gerd2_6" localSheetId="2" hidden="1">xls2sql_Master!#REF!</definedName>
    <definedName name="_._Dev_Import_sx_Gerd2_7" localSheetId="8" hidden="1">PF_Uplink_Factories!#REF!</definedName>
    <definedName name="_._Dev_Import_sx_Gerd2_7" localSheetId="7" hidden="1">PF_Uplink_ProductLines!#REF!</definedName>
    <definedName name="_._Dev_Import_sx_Gerd2_7" localSheetId="6" hidden="1">PF_Uplink_Products!#REF!</definedName>
    <definedName name="_._Dev_Import_sx_Gerd2_7" localSheetId="5" hidden="1">PF_Uplink_Values!#REF!</definedName>
    <definedName name="_._Dev_Import_sx_Gerd2_7" localSheetId="3" hidden="1">pq2sql_Master!#REF!</definedName>
    <definedName name="_._Dev_Import_sx_Gerd2_7" localSheetId="4" hidden="1">Uplink_nach_Template!#REF!</definedName>
    <definedName name="_._Dev_Import_sx_Gerd2_7" localSheetId="2" hidden="1">xls2sql_Master!#REF!</definedName>
    <definedName name="_._Dev_Import_sx_Gerd2_8" localSheetId="8" hidden="1">PF_Uplink_Factories!#REF!</definedName>
    <definedName name="_._Dev_Import_sx_Gerd2_8" localSheetId="7" hidden="1">PF_Uplink_ProductLines!#REF!</definedName>
    <definedName name="_._Dev_Import_sx_Gerd2_8" localSheetId="6" hidden="1">PF_Uplink_Products!#REF!</definedName>
    <definedName name="_._Dev_Import_sx_Gerd2_8" localSheetId="5" hidden="1">PF_Uplink_Values!#REF!</definedName>
    <definedName name="_._Dev_Import_sx_Gerd2_8" localSheetId="3" hidden="1">pq2sql_Master!#REF!</definedName>
    <definedName name="_._Dev_Import_sx_Gerd2_8" localSheetId="4" hidden="1">Uplink_nach_Template!#REF!</definedName>
    <definedName name="_._Dev_Import_sx_Gerd2_8" localSheetId="2" hidden="1">xls2sql_Master!#REF!</definedName>
    <definedName name="_._Dev_Import_sx_Gerd2_9" localSheetId="8" hidden="1">PF_Uplink_Factories!#REF!</definedName>
    <definedName name="_._Dev_Import_sx_Gerd2_9" localSheetId="7" hidden="1">PF_Uplink_ProductLines!#REF!</definedName>
    <definedName name="_._Dev_Import_sx_Gerd2_9" localSheetId="6" hidden="1">PF_Uplink_Products!#REF!</definedName>
    <definedName name="_._Dev_Import_sx_Gerd2_9" localSheetId="5" hidden="1">PF_Uplink_Values!#REF!</definedName>
    <definedName name="_._Dev_Import_sx_Gerd2_9" localSheetId="3" hidden="1">pq2sql_Master!#REF!</definedName>
    <definedName name="_._Dev_Import_sx_Gerd2_9" localSheetId="4" hidden="1">Uplink_nach_Template!#REF!</definedName>
    <definedName name="_._Dev_Import_sx_Gerd2_9" localSheetId="2" hidden="1">xls2sql_Master!#REF!</definedName>
    <definedName name="dFactories">Parameter!$I$12:$I$19</definedName>
    <definedName name="dProductLines">Parameter!$G$12:$G$71</definedName>
    <definedName name="dProducts">Parameter!$C$12:$C$50</definedName>
    <definedName name="fValues">Parameter!$E$12:$E$21</definedName>
    <definedName name="gbdtDB_Database">DB!$C$20</definedName>
    <definedName name="gbdtDB_DBStatus">DB!$C$22</definedName>
    <definedName name="gbdtDB_FunctionList">DB!$C$28</definedName>
    <definedName name="gbdtDB_Password">DB!$H$9</definedName>
    <definedName name="gbdtDB_ProcedureList">DB!$C$27</definedName>
    <definedName name="gbdtDB_Server">DB!$C$9</definedName>
    <definedName name="gbdtDB_ServerVersion">DB!$E$14</definedName>
    <definedName name="gbdtDB_SRVStatus">DB!$C$11</definedName>
    <definedName name="gbdtDB_TableList">DB!$C$25</definedName>
    <definedName name="gbdtDB_Trusted">DB!$E$9</definedName>
    <definedName name="gbdtDB_User">DB!$G$9</definedName>
    <definedName name="gbdtDB_VerbindungenWhere">DB!$G$62</definedName>
    <definedName name="gbdtDB_ViewList">DB!$C$26</definedName>
    <definedName name="gFWVersion">"3.0.5"</definedName>
    <definedName name="gFWXLSVersion">22</definedName>
    <definedName name="gModus">"Anwender"</definedName>
    <definedName name="gPFDBVersion" localSheetId="0">"3.0.6"</definedName>
    <definedName name="i18nIndex">'i18n'!$C$6</definedName>
    <definedName name="Lang">"Drop Down 3"</definedName>
    <definedName name="Language">"Drop Down"</definedName>
    <definedName name="Languages">'i18n'!$B$9:$B$14</definedName>
    <definedName name="PP_ActiveDataset">"Kein Dataset"</definedName>
    <definedName name="PP_Connected">"False"</definedName>
    <definedName name="PP_Currency">"False"</definedName>
    <definedName name="PP_DatasetSwitchAll">"False"</definedName>
    <definedName name="PP_DrillAll">"True"</definedName>
    <definedName name="PP_DrillLevel">"Drillen nächste Ebene"</definedName>
    <definedName name="PP_HideUNDEF">"False"</definedName>
    <definedName name="PP_LastRefresh">"Tuesday, May 19, 2015 1:16:22 PM"</definedName>
    <definedName name="PP_ListQuery">"False"</definedName>
    <definedName name="PP_LockOrganisation">"False"</definedName>
    <definedName name="PP_LockTime">"False"</definedName>
    <definedName name="PP_OrganisationSwitchAll">"True"</definedName>
    <definedName name="PP_PeriodSwitchAll">"True"</definedName>
    <definedName name="PP_Simulation">"False"</definedName>
    <definedName name="PP_Thousand">"False"</definedName>
    <definedName name="PP_TopDown">"False"</definedName>
    <definedName name="PP_YearToDate">"False"</definedName>
    <definedName name="SaveFlag">Admin!$J$1</definedName>
    <definedName name="TblCreate" localSheetId="3">pq2sql_Master!$D$9</definedName>
    <definedName name="TblCreate" localSheetId="2">xls2sql_Master!$D$9</definedName>
    <definedName name="TblNameSheet" localSheetId="3">pq2sql_Master!$D$8</definedName>
    <definedName name="TblNameSheet" localSheetId="2">xls2sql_Master!$D$8</definedName>
    <definedName name="TblNameSQL" localSheetId="3">pq2sql_Master!$D$7</definedName>
    <definedName name="TblNameSQL" localSheetId="2">xls2sql_Master!$D$7</definedName>
    <definedName name="xlsDelFactories" localSheetId="8">PF_Uplink_Factories!$D$10</definedName>
    <definedName name="xlsDelProduct" localSheetId="6">PF_Uplink_Products!$D$12</definedName>
    <definedName name="xlsDelProductLine">PF_Uplink_ProductLines!$D$11</definedName>
    <definedName name="xlsFactoryID" localSheetId="7">PF_Uplink_ProductLines!$D$9</definedName>
    <definedName name="xlsFactoryID" localSheetId="6">PF_Uplink_Products!$D$9</definedName>
    <definedName name="xlsFactoryID" localSheetId="5">PF_Uplink_Values!$D$9</definedName>
    <definedName name="xlsFactoryID" localSheetId="4">Uplink_nach_Template!$D$9</definedName>
    <definedName name="xlsProductID" localSheetId="5">PF_Uplink_Values!$D$11</definedName>
    <definedName name="xlsProductID" localSheetId="4">Uplink_nach_Template!$D$11</definedName>
    <definedName name="xlsProductLineID" localSheetId="6">PF_Uplink_Products!$D$10</definedName>
    <definedName name="xlsProductLineID" localSheetId="5">PF_Uplink_Values!$D$10</definedName>
    <definedName name="xlsProductLineID" localSheetId="4">Uplink_nach_Template!$D$10</definedName>
    <definedName name="xlsTblName" localSheetId="8">PF_Uplink_Factories!$D$9</definedName>
    <definedName name="xlsTblName" localSheetId="7">PF_Uplink_ProductLines!$D$10</definedName>
    <definedName name="xlsTblName" localSheetId="6">PF_Uplink_Products!$D$11</definedName>
    <definedName name="xlsTblName" localSheetId="5">PF_Uplink_Values!$D$12</definedName>
    <definedName name="xlsTblName" localSheetId="4">Uplink_nach_Template!$D$12</definedName>
    <definedName name="xlsTemplate" localSheetId="6">PF_Uplink_Products!$F$9</definedName>
    <definedName name="xlsValuesUplink_DelFlag" localSheetId="4">Uplink_nach_Template!$B$12</definedName>
    <definedName name="xlsValuesUplink_DelFlag">PF_Uplink_Values!$B$12</definedName>
  </definedNames>
  <calcPr calcId="152511"/>
  <pivotCaches>
    <pivotCache cacheId="0" r:id="rId15"/>
  </pivotCaches>
</workbook>
</file>

<file path=xl/calcChain.xml><?xml version="1.0" encoding="utf-8"?>
<calcChain xmlns="http://schemas.openxmlformats.org/spreadsheetml/2006/main">
  <c r="L5" i="5" l="1"/>
  <c r="C108" i="114"/>
  <c r="C107" i="114"/>
  <c r="C106" i="114"/>
  <c r="C105" i="114"/>
  <c r="C104" i="114"/>
  <c r="C103" i="114"/>
  <c r="C102" i="114"/>
  <c r="C101" i="114"/>
  <c r="C100" i="114"/>
  <c r="C99" i="114"/>
  <c r="C98" i="114"/>
  <c r="C97" i="114"/>
  <c r="C96" i="114"/>
  <c r="C95" i="114"/>
  <c r="C94" i="114"/>
  <c r="C93" i="114"/>
  <c r="C92" i="114"/>
  <c r="C91" i="114"/>
  <c r="C90" i="114"/>
  <c r="C89" i="114"/>
  <c r="C88" i="114"/>
  <c r="C87" i="114"/>
  <c r="C86" i="114"/>
  <c r="C85" i="114"/>
  <c r="C84" i="114"/>
  <c r="C83" i="114"/>
  <c r="C82" i="114"/>
  <c r="C81" i="114"/>
  <c r="C80" i="114"/>
  <c r="C79" i="114"/>
  <c r="C78" i="114"/>
  <c r="C77" i="114"/>
  <c r="C76" i="114"/>
  <c r="C75" i="114"/>
  <c r="C74" i="114"/>
  <c r="C73" i="114"/>
  <c r="C72" i="114"/>
  <c r="C71" i="114"/>
  <c r="C70" i="114"/>
  <c r="C69" i="114"/>
  <c r="C68" i="114"/>
  <c r="C67" i="114"/>
  <c r="C66" i="114"/>
  <c r="C65" i="114"/>
  <c r="C64" i="114"/>
  <c r="C63" i="114"/>
  <c r="C62" i="114"/>
  <c r="C61" i="114"/>
  <c r="C60" i="114"/>
  <c r="C59" i="114"/>
  <c r="C58" i="114"/>
  <c r="C57" i="114"/>
  <c r="C56" i="114"/>
  <c r="C55" i="114"/>
  <c r="C54" i="114"/>
  <c r="C53" i="114"/>
  <c r="C52" i="114"/>
  <c r="C51" i="114"/>
  <c r="C50" i="114"/>
  <c r="C49" i="114"/>
  <c r="C48" i="114"/>
  <c r="C47" i="114"/>
  <c r="C46" i="114"/>
  <c r="C45" i="114"/>
  <c r="C44" i="114"/>
  <c r="C43" i="114"/>
  <c r="C42" i="114"/>
  <c r="C41" i="114"/>
  <c r="C40" i="114"/>
  <c r="C39" i="114"/>
  <c r="C38" i="114"/>
  <c r="C37" i="114"/>
  <c r="C36" i="114"/>
  <c r="C35" i="114"/>
  <c r="C34" i="114"/>
  <c r="C33" i="114"/>
  <c r="C32" i="114"/>
  <c r="C31" i="114"/>
  <c r="C30" i="114"/>
  <c r="C29" i="114"/>
  <c r="C28" i="114"/>
  <c r="C27" i="114"/>
  <c r="C26" i="114"/>
  <c r="C25" i="114"/>
  <c r="C24" i="114"/>
  <c r="C23" i="114"/>
  <c r="C22" i="114"/>
  <c r="C21" i="114"/>
  <c r="C20" i="114"/>
  <c r="C19" i="114"/>
  <c r="C18" i="114"/>
  <c r="C17" i="114"/>
  <c r="C16" i="114"/>
  <c r="C15" i="114"/>
  <c r="C14" i="114"/>
  <c r="C13" i="114"/>
  <c r="C12" i="114"/>
  <c r="C11" i="114"/>
  <c r="C10" i="114"/>
  <c r="C9" i="114"/>
  <c r="C7" i="114"/>
  <c r="C6" i="114" s="1"/>
  <c r="L5" i="114"/>
  <c r="L5" i="102"/>
  <c r="L5" i="2"/>
  <c r="L5" i="126"/>
  <c r="M5" i="129"/>
  <c r="M5" i="128"/>
  <c r="M5" i="124"/>
  <c r="M5" i="127"/>
  <c r="I26" i="131"/>
  <c r="H26" i="131"/>
  <c r="I25" i="131"/>
  <c r="H25" i="131"/>
  <c r="I24" i="131"/>
  <c r="H24" i="131"/>
  <c r="I23" i="131"/>
  <c r="H23" i="131"/>
  <c r="I22" i="131"/>
  <c r="H22" i="131"/>
  <c r="I21" i="131"/>
  <c r="H21" i="131"/>
  <c r="I20" i="131"/>
  <c r="H20" i="131"/>
  <c r="I19" i="131"/>
  <c r="H19" i="131"/>
  <c r="I18" i="131"/>
  <c r="H18" i="131"/>
  <c r="M5" i="131"/>
  <c r="M5" i="122"/>
  <c r="M5" i="120"/>
  <c r="E7" i="121"/>
  <c r="J5" i="121"/>
  <c r="I5" i="121"/>
  <c r="J5" i="123"/>
  <c r="C2" i="102" l="1"/>
  <c r="D7" i="121"/>
</calcChain>
</file>

<file path=xl/comments1.xml><?xml version="1.0" encoding="utf-8"?>
<comments xmlns="http://schemas.openxmlformats.org/spreadsheetml/2006/main">
  <authors>
    <author>admin</author>
  </authors>
  <commentList>
    <comment ref="D9" authorId="0" shapeId="0">
      <text>
        <r>
          <rPr>
            <sz val="9"/>
            <color indexed="81"/>
            <rFont val="Segoe UI"/>
            <family val="2"/>
          </rPr>
          <t>FactoryID kann global oder pro Zeile angegeben werden. Die Zeilenangabe hat Vorrang und muss dann lückenlos sein.</t>
        </r>
      </text>
    </comment>
    <comment ref="D10" authorId="0" shapeId="0">
      <text>
        <r>
          <rPr>
            <sz val="9"/>
            <color indexed="81"/>
            <rFont val="Segoe UI"/>
            <family val="2"/>
          </rPr>
          <t>ProductLineID kann global oder pro Zeile angegeben werden. Die Zeilenangabe hat Vorrang und muss dann lückenlos sein.</t>
        </r>
      </text>
    </comment>
    <comment ref="D11" authorId="0" shapeId="0">
      <text>
        <r>
          <rPr>
            <sz val="9"/>
            <color indexed="81"/>
            <rFont val="Segoe UI"/>
            <family val="2"/>
          </rPr>
          <t>ProductID kann global oder pro Zeile angegeben werden. Die Zeilenangabe hat Vorrang und muss dann lückenlos sein.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9" authorId="0" shapeId="0">
      <text>
        <r>
          <rPr>
            <sz val="9"/>
            <color indexed="81"/>
            <rFont val="Segoe UI"/>
            <family val="2"/>
          </rPr>
          <t>FactoryID kann global oder pro Zeile angegeben werden. Die Zeilenangabe hat Vorrang und muss dann lückenlos sein.</t>
        </r>
      </text>
    </comment>
    <comment ref="D10" authorId="0" shapeId="0">
      <text>
        <r>
          <rPr>
            <sz val="9"/>
            <color indexed="81"/>
            <rFont val="Segoe UI"/>
            <family val="2"/>
          </rPr>
          <t>ProductLineID kann global oder pro Zeile angegeben werden. Die Zeilenangabe hat Vorrang und muss dann lückenlos sein.</t>
        </r>
      </text>
    </comment>
    <comment ref="D11" authorId="0" shapeId="0">
      <text>
        <r>
          <rPr>
            <sz val="9"/>
            <color indexed="81"/>
            <rFont val="Segoe UI"/>
            <family val="2"/>
          </rPr>
          <t>ProductID kann global oder pro Zeile angegeben werden. Die Zeilenangabe hat Vorrang und muss dann lückenlos sein.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9" authorId="0" shapeId="0">
      <text>
        <r>
          <rPr>
            <sz val="9"/>
            <color indexed="81"/>
            <rFont val="Segoe UI"/>
            <family val="2"/>
          </rPr>
          <t>FactoryID kann global oder pro Zeile angegeben werden. Die Zeilenangabe hat Vorrang und muss dann lückenlos sein.</t>
        </r>
      </text>
    </comment>
    <comment ref="F9" authorId="0" shapeId="0">
      <text>
        <r>
          <rPr>
            <sz val="9"/>
            <color indexed="81"/>
            <rFont val="Segoe UI"/>
            <family val="2"/>
          </rPr>
          <t>Das Template kann global oder pro Zeile angegeben werden. Die Zeilenangabe hat Vorrang und muss dann lückenlos sein.</t>
        </r>
      </text>
    </comment>
    <comment ref="D10" authorId="0" shapeId="0">
      <text>
        <r>
          <rPr>
            <sz val="9"/>
            <color indexed="81"/>
            <rFont val="Segoe UI"/>
            <family val="2"/>
          </rPr>
          <t>ProductLineID kann global oder pro Zeile angegeben werden. Die Zeilenangabe hat Vorrang und muss dann lückenlos sein.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D9" authorId="0" shapeId="0">
      <text>
        <r>
          <rPr>
            <sz val="9"/>
            <color indexed="81"/>
            <rFont val="Segoe UI"/>
            <family val="2"/>
          </rPr>
          <t>FactoryID kann global oder pro Zeile angegeben werden. Die Zeilenangabe hat Vorrang und muss dann lückenlos sein.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I9" authorId="0" shapeId="0">
      <text>
        <r>
          <rPr>
            <sz val="8"/>
            <color indexed="81"/>
            <rFont val="Tahoma"/>
            <family val="2"/>
          </rPr>
          <t>Testet die Erreibarkeit von Server und Datenbank.</t>
        </r>
      </text>
    </comment>
    <comment ref="H20" authorId="0" shapeId="0">
      <text>
        <r>
          <rPr>
            <sz val="8"/>
            <color indexed="81"/>
            <rFont val="Tahoma"/>
            <family val="2"/>
          </rPr>
          <t xml:space="preserve">Legt eine leere Datenbank mit dem angegebenen Namen an.
</t>
        </r>
      </text>
    </comment>
  </commentList>
</comments>
</file>

<file path=xl/connections.xml><?xml version="1.0" encoding="utf-8"?>
<connections xmlns="http://schemas.openxmlformats.org/spreadsheetml/2006/main">
  <connection id="1" keepAlive="1" name="DB_Master" type="5" refreshedVersion="5" minRefreshableVersion="3" saveData="1">
    <dbPr connection="Provider=SQLOLEDB;Server=.;Initial Catalog = PlanningFactory4k;;Integrated Security=SSPI" command="SELECT 'Master' AS [Master]"/>
  </connection>
  <connection id="2" keepAlive="1" name="DB_sx_pf_fAValues()" type="5" refreshedVersion="5" savePassword="1" deleted="1" saveData="1">
    <dbPr connection="" command=""/>
  </connection>
</connections>
</file>

<file path=xl/sharedStrings.xml><?xml version="1.0" encoding="utf-8"?>
<sst xmlns="http://schemas.openxmlformats.org/spreadsheetml/2006/main" count="1518" uniqueCount="734">
  <si>
    <t>Aktualisierte alle DB_* Datenverbindungen der Arbeitsmappe</t>
  </si>
  <si>
    <t>DB_* Verbindungen updaten</t>
  </si>
  <si>
    <t>Öffnet einen Dialog zur Ausführung von SQL Befehlen</t>
  </si>
  <si>
    <t>Skriptfenster</t>
  </si>
  <si>
    <t>Liste der Funktionen</t>
  </si>
  <si>
    <t>Liste der Prozeduren</t>
  </si>
  <si>
    <t>Datenbank anlegen</t>
  </si>
  <si>
    <t>Konfiguration testen</t>
  </si>
  <si>
    <t>Passwort</t>
  </si>
  <si>
    <t>Username</t>
  </si>
  <si>
    <t>Trusted</t>
  </si>
  <si>
    <t>Servername</t>
  </si>
  <si>
    <t>1. Server konfigurieren</t>
  </si>
  <si>
    <t>Datenbankverbindung</t>
  </si>
  <si>
    <t xml:space="preserve">Konfiguration der Verbindung zu einem SQL Server </t>
  </si>
  <si>
    <t>Überschrift</t>
  </si>
  <si>
    <t>.</t>
  </si>
  <si>
    <t>DB Backup ausführen</t>
  </si>
  <si>
    <t>Sicherung der aktuellen Datenbank</t>
  </si>
  <si>
    <t>3. Datenbank auswählen oder anlegen</t>
  </si>
  <si>
    <t>4. Datenbankinformationen</t>
  </si>
  <si>
    <t>2. Serverinformationen</t>
  </si>
  <si>
    <t>Version:</t>
  </si>
  <si>
    <t>Edition:</t>
  </si>
  <si>
    <t>5. Datenbankoperationen</t>
  </si>
  <si>
    <t>Produktlevel:</t>
  </si>
  <si>
    <t>Datenbank löschen</t>
  </si>
  <si>
    <t>DB Backup wiederherstellen</t>
  </si>
  <si>
    <t>Datenbanksicherung in existierende Datenbank einspielen</t>
  </si>
  <si>
    <t>Developer Edition (64-bit)</t>
  </si>
  <si>
    <t>Tabelle anzeigen</t>
  </si>
  <si>
    <t>Sicht anzeigen</t>
  </si>
  <si>
    <t>Tabelle als Pivot anzeigen</t>
  </si>
  <si>
    <t>Sicht als Pivot anzeigen</t>
  </si>
  <si>
    <t>DBW_* Verbindungen updaten</t>
  </si>
  <si>
    <t>where Mandanten_ID=1</t>
  </si>
  <si>
    <t>Aktualisierte alle DBW_* Datenverbindungen der Arbeitsmappe</t>
  </si>
  <si>
    <t>Dev</t>
  </si>
  <si>
    <t>A</t>
  </si>
  <si>
    <t>F</t>
  </si>
  <si>
    <t>D</t>
  </si>
  <si>
    <t>H</t>
  </si>
  <si>
    <t>ProductID</t>
  </si>
  <si>
    <t>FactoryID</t>
  </si>
  <si>
    <t>FactoryName</t>
  </si>
  <si>
    <t>Start</t>
  </si>
  <si>
    <t>(Alle)</t>
  </si>
  <si>
    <t>ProductName</t>
  </si>
  <si>
    <t>ValueSeriesName</t>
  </si>
  <si>
    <t>Projektübergreifende Auswertungen</t>
  </si>
  <si>
    <t>Fabriken</t>
  </si>
  <si>
    <t>Produktlinien</t>
  </si>
  <si>
    <t>ProductlineID</t>
  </si>
  <si>
    <t>Los geht's</t>
  </si>
  <si>
    <t>Refresh</t>
  </si>
  <si>
    <t>Bearbeiten</t>
  </si>
  <si>
    <t>Verantwortlicher</t>
  </si>
  <si>
    <t>Neu</t>
  </si>
  <si>
    <t>Anwender</t>
  </si>
  <si>
    <t>Listen verwalten</t>
  </si>
  <si>
    <t>ListID</t>
  </si>
  <si>
    <t>Hier werden die Auswahllisten des Clusters und ihre Werte verwaltet.</t>
  </si>
  <si>
    <t>Werte ändern / Neue unten anfügen / am Ende mit SS speichern</t>
  </si>
  <si>
    <t>Effect</t>
  </si>
  <si>
    <t>Reload</t>
  </si>
  <si>
    <t>Year</t>
  </si>
  <si>
    <t>Month</t>
  </si>
  <si>
    <t>ProductLineName</t>
  </si>
  <si>
    <t>ValueSeriesID</t>
  </si>
  <si>
    <t>Summe von Wert</t>
  </si>
  <si>
    <t>ZT,ZT,2,,,,,</t>
  </si>
  <si>
    <t>ID</t>
  </si>
  <si>
    <t>Details</t>
  </si>
  <si>
    <t>Eigenschaften</t>
  </si>
  <si>
    <t>Server</t>
  </si>
  <si>
    <t>Alias</t>
  </si>
  <si>
    <t>User</t>
  </si>
  <si>
    <t>Datenbank</t>
  </si>
  <si>
    <t xml:space="preserve"> </t>
  </si>
  <si>
    <t>Favoriten für Verbindungen</t>
  </si>
  <si>
    <t>Übernehmen</t>
  </si>
  <si>
    <t>Ändern</t>
  </si>
  <si>
    <t>Gesamtergebnis</t>
  </si>
  <si>
    <t/>
  </si>
  <si>
    <t>Kostenart 1</t>
  </si>
  <si>
    <t>K1</t>
  </si>
  <si>
    <t>PL</t>
  </si>
  <si>
    <t>Test</t>
  </si>
  <si>
    <t>1</t>
  </si>
  <si>
    <t>2_1</t>
  </si>
  <si>
    <t>Neuer Hase</t>
  </si>
  <si>
    <t>2</t>
  </si>
  <si>
    <t>5</t>
  </si>
  <si>
    <t>9</t>
  </si>
  <si>
    <t>3</t>
  </si>
  <si>
    <t>4</t>
  </si>
  <si>
    <t>6</t>
  </si>
  <si>
    <t>7</t>
  </si>
  <si>
    <t>Hase 7</t>
  </si>
  <si>
    <t>8</t>
  </si>
  <si>
    <t>Hase 8</t>
  </si>
  <si>
    <t>Hase 9</t>
  </si>
  <si>
    <t>10</t>
  </si>
  <si>
    <t>Übersetzungstabelle für Planning Factory GUI</t>
  </si>
  <si>
    <t>Key</t>
  </si>
  <si>
    <t>Sheet</t>
  </si>
  <si>
    <t>Typ</t>
  </si>
  <si>
    <t>DE</t>
  </si>
  <si>
    <t>ENG</t>
  </si>
  <si>
    <t>RU</t>
  </si>
  <si>
    <t>FT</t>
  </si>
  <si>
    <t>SH</t>
  </si>
  <si>
    <t>Let's Start</t>
  </si>
  <si>
    <t>H2</t>
  </si>
  <si>
    <t>Browser to access Planning Factory Databases of type 3.0.6</t>
  </si>
  <si>
    <t>ChangeDB</t>
  </si>
  <si>
    <t>Go</t>
  </si>
  <si>
    <t>Change</t>
  </si>
  <si>
    <t>G</t>
  </si>
  <si>
    <t>Fsingular</t>
  </si>
  <si>
    <t>Fplural</t>
  </si>
  <si>
    <t>PLsingular</t>
  </si>
  <si>
    <t>PLplural</t>
  </si>
  <si>
    <t>Psingular</t>
  </si>
  <si>
    <t>Pplural</t>
  </si>
  <si>
    <t>Fabrik</t>
  </si>
  <si>
    <t>Produktlinie</t>
  </si>
  <si>
    <t>Produkt</t>
  </si>
  <si>
    <t>Produkte</t>
  </si>
  <si>
    <t>Factory</t>
  </si>
  <si>
    <t>Factories</t>
  </si>
  <si>
    <t>Productline</t>
  </si>
  <si>
    <t>Productlines</t>
  </si>
  <si>
    <t>Product</t>
  </si>
  <si>
    <t>FID</t>
  </si>
  <si>
    <t>PLID</t>
  </si>
  <si>
    <t>PID</t>
  </si>
  <si>
    <t>ProduktID</t>
  </si>
  <si>
    <t>ProduktlinienID</t>
  </si>
  <si>
    <t>FabrikID</t>
  </si>
  <si>
    <t>New</t>
  </si>
  <si>
    <t>RespPers</t>
  </si>
  <si>
    <t>Responsible</t>
  </si>
  <si>
    <t>Edit</t>
  </si>
  <si>
    <t>Props</t>
  </si>
  <si>
    <t>Properties</t>
  </si>
  <si>
    <t>L</t>
  </si>
  <si>
    <t>BTN</t>
  </si>
  <si>
    <t>Quit</t>
  </si>
  <si>
    <t>Beenden</t>
  </si>
  <si>
    <t>Refresh xls</t>
  </si>
  <si>
    <t>DLG</t>
  </si>
  <si>
    <t>LoadH1</t>
  </si>
  <si>
    <t>LoadDecide</t>
  </si>
  <si>
    <t>Starten der Planning Factory</t>
  </si>
  <si>
    <t>Starting Planning Factroy</t>
  </si>
  <si>
    <t xml:space="preserve">Version erfolgreich validiert als </t>
  </si>
  <si>
    <t>LoadSuccess</t>
  </si>
  <si>
    <t xml:space="preserve">Version successful validated as </t>
  </si>
  <si>
    <t>LoadNoPF</t>
  </si>
  <si>
    <t>Diese Datenbank wurde nicht als gültige Planning Factory Datenbank erkannt. Laden abgebrochen.</t>
  </si>
  <si>
    <t>Versionskonflikt, dieser Browser ist für Planning Factory 3.0.6 erstellt, die Version des Clusters ist  {1}. Trotzdem laden ?</t>
  </si>
  <si>
    <t>Version Conflict, this Browser ist build for Planning Factory 3.0.6, the Version of the cluster is {1}. Load anyway ?</t>
  </si>
  <si>
    <t>Factory Eigenschaften</t>
  </si>
  <si>
    <t>Factory Properties</t>
  </si>
  <si>
    <t>Sie können die Eigenschaften der Factory hier ändern.</t>
  </si>
  <si>
    <t>Name der Factory</t>
  </si>
  <si>
    <t>ProductLine kopieren</t>
  </si>
  <si>
    <t>Bitte geben Sie an, in welche Factory die ProductLine kopiert werden soll und welche ID/Namen sie dort haben soll.</t>
  </si>
  <si>
    <t>ID der Zielfactory:</t>
  </si>
  <si>
    <t>ID der neuen ProductLine:</t>
  </si>
  <si>
    <t>Name der neuen ProductLine:</t>
  </si>
  <si>
    <t>Abbrechen</t>
  </si>
  <si>
    <t>Cancel</t>
  </si>
  <si>
    <t>Productline Eigenschaften</t>
  </si>
  <si>
    <t>Factory Name</t>
  </si>
  <si>
    <t>Factory name</t>
  </si>
  <si>
    <t>PLName</t>
  </si>
  <si>
    <t>Productline Name</t>
  </si>
  <si>
    <t>Comment</t>
  </si>
  <si>
    <t>Kommentar</t>
  </si>
  <si>
    <t>Globalattribut 1-10</t>
  </si>
  <si>
    <t>Globalattribut 11-20</t>
  </si>
  <si>
    <t>Globalattribut 21-25</t>
  </si>
  <si>
    <t>Definieren Sie für die Globalattribute einen Aliasnamen und Optional eine Liste die zur Wertauswahl gezeigt wird.</t>
  </si>
  <si>
    <t>zur Wertauswahl</t>
  </si>
  <si>
    <t>Globalattribut {1} heisst</t>
  </si>
  <si>
    <t>und zeigt ListenID</t>
  </si>
  <si>
    <t>Exit</t>
  </si>
  <si>
    <t>Factory kopieren</t>
  </si>
  <si>
    <t>Bitte geben Sie eine ID und einen Namen für die neue Factory an.</t>
  </si>
  <si>
    <t>ID der neuen Factory:</t>
  </si>
  <si>
    <t>Name der neuen Factory:</t>
  </si>
  <si>
    <t>Transaktionsfreigabe</t>
  </si>
  <si>
    <t>FProp_H1</t>
  </si>
  <si>
    <t>FProp_ID</t>
  </si>
  <si>
    <t>FProp_H2</t>
  </si>
  <si>
    <t>FProp_Name</t>
  </si>
  <si>
    <t>PLCopy_H1</t>
  </si>
  <si>
    <t>PLCopy_H2</t>
  </si>
  <si>
    <t>FCopy_FIDNew</t>
  </si>
  <si>
    <t>PLProp_H1</t>
  </si>
  <si>
    <t>PLProp_GA1_10</t>
  </si>
  <si>
    <t>PLProp_GA2Hint1</t>
  </si>
  <si>
    <t>PLProp_GA3Hint1</t>
  </si>
  <si>
    <t>PLProp_GAXFor</t>
  </si>
  <si>
    <t>PLProp_GAXName</t>
  </si>
  <si>
    <t>PLProp_GAXshows</t>
  </si>
  <si>
    <t>PLProp_GA11_20</t>
  </si>
  <si>
    <t>PLProp_GA21_25</t>
  </si>
  <si>
    <t>PLProp_GA1H1</t>
  </si>
  <si>
    <t>PLProp_GA1Hint1</t>
  </si>
  <si>
    <t>FCopy_H1</t>
  </si>
  <si>
    <t>FCopy_H2</t>
  </si>
  <si>
    <t>FDel_H1</t>
  </si>
  <si>
    <t>FDel_H2</t>
  </si>
  <si>
    <t>PLDel_H1</t>
  </si>
  <si>
    <t>PLDel_H2</t>
  </si>
  <si>
    <t>PLCopy_PLIDNew</t>
  </si>
  <si>
    <t>PLCopy_PLNameNew</t>
  </si>
  <si>
    <t>PLCopy_FID</t>
  </si>
  <si>
    <t>FCopy_FNameNew</t>
  </si>
  <si>
    <t>FName</t>
  </si>
  <si>
    <t>Soll in Factory {1} der ProductLine {2} tatsächlich gelöscht werden?</t>
  </si>
  <si>
    <t>FNew_FIDNew</t>
  </si>
  <si>
    <t>FNew_FNameNew</t>
  </si>
  <si>
    <t>Factory anlegen</t>
  </si>
  <si>
    <t>SaveClose</t>
  </si>
  <si>
    <t>Speichern und Schließen</t>
  </si>
  <si>
    <t>Save and Close</t>
  </si>
  <si>
    <t>Close</t>
  </si>
  <si>
    <t>Schließen</t>
  </si>
  <si>
    <t>Save</t>
  </si>
  <si>
    <t>Speichern</t>
  </si>
  <si>
    <t>OK</t>
  </si>
  <si>
    <t>PLNew_H1</t>
  </si>
  <si>
    <t>ProductLine anlegen</t>
  </si>
  <si>
    <t>PLNew_H2</t>
  </si>
  <si>
    <t>PLNew_FID</t>
  </si>
  <si>
    <t>PLNew_PLIDNew</t>
  </si>
  <si>
    <t>PLNew_PLNameNew</t>
  </si>
  <si>
    <t>Pivot</t>
  </si>
  <si>
    <t>H1</t>
  </si>
  <si>
    <t>Insert</t>
  </si>
  <si>
    <t>Einfügen</t>
  </si>
  <si>
    <t>Delete</t>
  </si>
  <si>
    <t>Löschen</t>
  </si>
  <si>
    <t>All</t>
  </si>
  <si>
    <t>Alle</t>
  </si>
  <si>
    <t>FNew_False</t>
  </si>
  <si>
    <t>FNew_H1</t>
  </si>
  <si>
    <t>FNew_H2</t>
  </si>
  <si>
    <t>PLNew_False</t>
  </si>
  <si>
    <t>StatM_False</t>
  </si>
  <si>
    <t>Textlänge unter Minimum von 5 Zeichen.</t>
  </si>
  <si>
    <t>StatM_H1</t>
  </si>
  <si>
    <t>Versionshistorie</t>
  </si>
  <si>
    <t>Bitte kommentieren Sie die vorgenommen Änderungen:</t>
  </si>
  <si>
    <t>User:</t>
  </si>
  <si>
    <t>PC:</t>
  </si>
  <si>
    <t>StatM_H2</t>
  </si>
  <si>
    <t>StatM_User</t>
  </si>
  <si>
    <t>StatM_PC</t>
  </si>
  <si>
    <t>LNew_H1</t>
  </si>
  <si>
    <t>Liste anlegen</t>
  </si>
  <si>
    <t>Bitte geben Sie eine ID und einen Namen für die neue Liste an.</t>
  </si>
  <si>
    <t>LNew_LID</t>
  </si>
  <si>
    <t>LNew_H2</t>
  </si>
  <si>
    <t>LNew_LName</t>
  </si>
  <si>
    <t>LNew_LDT</t>
  </si>
  <si>
    <t>Nameshort</t>
  </si>
  <si>
    <t>DatenTyp</t>
  </si>
  <si>
    <t>Bitte geben Sie der Liste zumindest eine ListID.</t>
  </si>
  <si>
    <t>Liste konnte nicht angelegt werden, da bereits vorhanden.</t>
  </si>
  <si>
    <t>LNew_False</t>
  </si>
  <si>
    <t>LNew_Ok</t>
  </si>
  <si>
    <t>*</t>
  </si>
  <si>
    <t>Diese ProductLine existiert bereis und kann daher nicht noch einmal angelegt werden.</t>
  </si>
  <si>
    <t>This ProductLine exists already and cannot be inserted again.</t>
  </si>
  <si>
    <t>Textlength under minimum 5 Characters</t>
  </si>
  <si>
    <t>Versionhistory</t>
  </si>
  <si>
    <t>Please comment the changed Settings:</t>
  </si>
  <si>
    <t>Create a List</t>
  </si>
  <si>
    <t>Please define an ID and a name for the new factory.</t>
  </si>
  <si>
    <t>Datatype</t>
  </si>
  <si>
    <t>Please enter Minimum one ListID in the List.</t>
  </si>
  <si>
    <t>List could not be created, because it already exists.</t>
  </si>
  <si>
    <t>This Database was not recognized as valid Planning Factory Database. Loading canceled.</t>
  </si>
  <si>
    <t>Here you can change the Properties of the Factory.</t>
  </si>
  <si>
    <t>Name of the Factory</t>
  </si>
  <si>
    <t>Copy Productline</t>
  </si>
  <si>
    <t>Please specificate, which productline should be copied in which Factory and which ID/Name shall be given.</t>
  </si>
  <si>
    <t>ID of the target Factory:</t>
  </si>
  <si>
    <t>ID of the new Productline:</t>
  </si>
  <si>
    <t>Name of the new Productline:</t>
  </si>
  <si>
    <t>Productline Properties</t>
  </si>
  <si>
    <t>Global Attribute 1-10</t>
  </si>
  <si>
    <t>Global Attribute 11-20</t>
  </si>
  <si>
    <t>Global Attribute 21-25</t>
  </si>
  <si>
    <t>Please define for the global Attributes an Aliasname and optional a List, which will be shown for the Value Selection.</t>
  </si>
  <si>
    <t>Global Attribute {1} is called</t>
  </si>
  <si>
    <t>and shows ListID</t>
  </si>
  <si>
    <t>Copy Factory</t>
  </si>
  <si>
    <t>Please define an ID and Name for the new Factory.</t>
  </si>
  <si>
    <t>ID of the new Factory:</t>
  </si>
  <si>
    <t>Name of the new Factory:</t>
  </si>
  <si>
    <t>Transaction Release</t>
  </si>
  <si>
    <t>If that is the Case, Factory {1} of the ProductLine {2} should be deleted?</t>
  </si>
  <si>
    <t>Create Factory</t>
  </si>
  <si>
    <t>CommU</t>
  </si>
  <si>
    <t>H3</t>
  </si>
  <si>
    <t>Create ProductLine</t>
  </si>
  <si>
    <t>Project-Overlapping Analysis</t>
  </si>
  <si>
    <t>Benutzerkommentar</t>
  </si>
  <si>
    <t>MB</t>
  </si>
  <si>
    <t>M1</t>
  </si>
  <si>
    <t>M2</t>
  </si>
  <si>
    <t>Aus Factory {1} wurde ProductLine {2} erfolgreich exportiert</t>
  </si>
  <si>
    <t>From Factory {1} was exported ProductLine {2} successfully.</t>
  </si>
  <si>
    <t>Die Factory {1} wurde erfolgreich exportiert.</t>
  </si>
  <si>
    <t>The Factory {1} was exported successfully.</t>
  </si>
  <si>
    <t>Die Liste {1} wurde erfolgreich exportiert.</t>
  </si>
  <si>
    <t>The List {1} was exported successfully.</t>
  </si>
  <si>
    <t>Soll die Liste {1} wirklich gelöscht werden?</t>
  </si>
  <si>
    <t>Are you sure , you want to delete the List {1}?</t>
  </si>
  <si>
    <t>User Comment</t>
  </si>
  <si>
    <t>Manage Lists</t>
  </si>
  <si>
    <t xml:space="preserve">Here you manage the suggested lists of the Cluster and it's Values. </t>
  </si>
  <si>
    <t>Change Values/ Add new Ones on the Bottom/ save at the End with SS</t>
  </si>
  <si>
    <t>Please write an ID and a Name for the new Factory.</t>
  </si>
  <si>
    <t>for Value Selection</t>
  </si>
  <si>
    <t>1...10 wird empfohlen für Attribute die über alle ProductLines hinweg gleich sind. (z.B. Kostenstelle, Land, Standort)</t>
  </si>
  <si>
    <t>11...20 wird empfohlen für Attribute die für DIESE ProductLine spezifisch sind. (z.B. Kfz Kennzeichen im Fuhrpark)</t>
  </si>
  <si>
    <t>21...25 für besondere Wünsche</t>
  </si>
  <si>
    <t>21...25 for special wishes</t>
  </si>
  <si>
    <t>11...20 are recommended for Attributes, which are specific for THIS ProductLines (e.g. plate number for cars)</t>
  </si>
  <si>
    <t>1...10 are recommended for Attributes, which are the same across all ProductLines (e.g. Cost Centre, Country, Location)</t>
  </si>
  <si>
    <t>NL</t>
  </si>
  <si>
    <t>CZ</t>
  </si>
  <si>
    <t>BusinessAdmin</t>
  </si>
  <si>
    <t>Fachadministrator</t>
  </si>
  <si>
    <t>Business Administrator</t>
  </si>
  <si>
    <t>Developer</t>
  </si>
  <si>
    <t>Entwickler</t>
  </si>
  <si>
    <t>polski</t>
  </si>
  <si>
    <t>Nederlands</t>
  </si>
  <si>
    <t>český</t>
  </si>
  <si>
    <t>Отмена</t>
  </si>
  <si>
    <t>Обновить xls</t>
  </si>
  <si>
    <t>Идентификатор (ID) новой фабрики:</t>
  </si>
  <si>
    <t>Транзакционный релиз</t>
  </si>
  <si>
    <t>Soll Factory {1} mit allen ProductLine tatsächlich gelöscht werden?</t>
  </si>
  <si>
    <t>If that is the Case, Factory {1} with all Productlines should be deleted?</t>
  </si>
  <si>
    <t>Вы действительно хотите удалить эту фабрику {1}, со всеми её линиями продуктов?</t>
  </si>
  <si>
    <t>Свойства фабрики</t>
  </si>
  <si>
    <t>Здесь вы можете изменить свойства фабрики</t>
  </si>
  <si>
    <t>Название новой фабрики:</t>
  </si>
  <si>
    <t>Название фабрики</t>
  </si>
  <si>
    <t>Конфликт версий, этот браузер создан для  Planning Factory 3.0.6, версия вашего предприятия {1}. Загрузить не смотря на это?</t>
  </si>
  <si>
    <t>Запуск Planning Factory</t>
  </si>
  <si>
    <t>Эта база данных не является базой данных Planning Factory. Загрузка прервана.</t>
  </si>
  <si>
    <t xml:space="preserve">Версия успешно подтверждена как </t>
  </si>
  <si>
    <t>ID необходимой фабрики:</t>
  </si>
  <si>
    <t>Пожалуйста, укажите, в какую фабрику должна быть скопирована линия продуктов, а также укажите какой идентификатор (ID) и название она должна иметь.</t>
  </si>
  <si>
    <t>ID новой линии продуктов:</t>
  </si>
  <si>
    <t>Название</t>
  </si>
  <si>
    <t>Название новой линии продуктов:</t>
  </si>
  <si>
    <t>Должна ли линия продуктов {2} действительно быть удалена из фабрики {1}?</t>
  </si>
  <si>
    <t>Глобальные атрибуты 1-10</t>
  </si>
  <si>
    <t>Глобальные атрибуты 11-20</t>
  </si>
  <si>
    <t>Глобальные атрибуты 21-25</t>
  </si>
  <si>
    <t xml:space="preserve">Определите обозначение глобальных атрибутов и, если необходимо, список который будет отображатся при выборе значения. </t>
  </si>
  <si>
    <t>21..25 рекомендуются для особых характеристик</t>
  </si>
  <si>
    <t>для выбора значения</t>
  </si>
  <si>
    <t>Свойства линии продуктов</t>
  </si>
  <si>
    <t>Изменить</t>
  </si>
  <si>
    <t>Начать</t>
  </si>
  <si>
    <t>Браузер для доступа к базе данных Planning Factory, схема 3.0.6.</t>
  </si>
  <si>
    <t>Отменить</t>
  </si>
  <si>
    <t>Комментарий</t>
  </si>
  <si>
    <t>ID фабрики</t>
  </si>
  <si>
    <t>Фабрики</t>
  </si>
  <si>
    <t>Фабрика</t>
  </si>
  <si>
    <t>ID продукта</t>
  </si>
  <si>
    <t>ID линии продуктов</t>
  </si>
  <si>
    <t>Название линии продуктов</t>
  </si>
  <si>
    <t>Линия продуктов</t>
  </si>
  <si>
    <t>Линии продуктов</t>
  </si>
  <si>
    <t>Products</t>
  </si>
  <si>
    <t>Продукты</t>
  </si>
  <si>
    <t>Продукт</t>
  </si>
  <si>
    <t>Ответственный</t>
  </si>
  <si>
    <t>Создать</t>
  </si>
  <si>
    <t>Свойства</t>
  </si>
  <si>
    <t>Перезагрузить</t>
  </si>
  <si>
    <t xml:space="preserve">Сохранить и закрыть </t>
  </si>
  <si>
    <t>Закрыть</t>
  </si>
  <si>
    <t>Сохранить</t>
  </si>
  <si>
    <t xml:space="preserve">ОК </t>
  </si>
  <si>
    <t>Создание линии продуктов</t>
  </si>
  <si>
    <t>Bitte geben Sie an, in welche Factory die ProductLine erzeugt werden soll und welche ID/Namen sie dort haben soll.</t>
  </si>
  <si>
    <t>Please specificate, which Productline should be created in which Factory and which ID/Name shall be given.</t>
  </si>
  <si>
    <t>Пожалуйста, укажите, в какой фабрике должна быть создана линия продуктов, а также укажите какой идентификатор (ID) и название она должна иметь.</t>
  </si>
  <si>
    <t xml:space="preserve">Детали  </t>
  </si>
  <si>
    <t>Смежный анализ проекта</t>
  </si>
  <si>
    <t xml:space="preserve">Добавить </t>
  </si>
  <si>
    <t xml:space="preserve">Удалить </t>
  </si>
  <si>
    <t>Все</t>
  </si>
  <si>
    <t>Эта фабрика не может быть создана, так как уже существует.</t>
  </si>
  <si>
    <t>Эта линия продуктов не может быть создана, так как уже существует.</t>
  </si>
  <si>
    <t>Длина текста должна быть минимум 5 символов.</t>
  </si>
  <si>
    <t>История версий</t>
  </si>
  <si>
    <t>Прокомментируйте, пожалуйста, внесенные изменения :</t>
  </si>
  <si>
    <t>Пользователь</t>
  </si>
  <si>
    <t>Пользователь:</t>
  </si>
  <si>
    <t xml:space="preserve"> ID списка</t>
  </si>
  <si>
    <t>Тип данных</t>
  </si>
  <si>
    <t>Этот список не может быть создан, потому что уже существует.</t>
  </si>
  <si>
    <t>Вам необходимо для этого списка указать как минимум идентификатор ID.</t>
  </si>
  <si>
    <t>Создание списка</t>
  </si>
  <si>
    <t>Создание фабрики</t>
  </si>
  <si>
    <t>Копирование линии продуктов</t>
  </si>
  <si>
    <t>Копирование фабрики</t>
  </si>
  <si>
    <t>Пожалуйста, укажите название и идентификатор (ID) для нового списка</t>
  </si>
  <si>
    <t>Пожалуйста, укажите имя и идентификатор для новой фабрики.</t>
  </si>
  <si>
    <t>Коментарии пользователя</t>
  </si>
  <si>
    <t>Управление списками</t>
  </si>
  <si>
    <t xml:space="preserve">Здесь происходит управление списками и их значениями в предприятии. </t>
  </si>
  <si>
    <t>Изменение значений / Добавление новых в конце / Сохранение в конце с SS</t>
  </si>
  <si>
    <t>Фабрика {1} была успешно экспортированна.</t>
  </si>
  <si>
    <t>Линия продуктов {2} фабрики {1} была успешно экспортированна.</t>
  </si>
  <si>
    <t>Список {1}  был успешно экспортированн.</t>
  </si>
  <si>
    <t>Вы действительно хотите удалить этот список {1}</t>
  </si>
  <si>
    <t>Квалифицированный администратор</t>
  </si>
  <si>
    <t>Разработчик</t>
  </si>
  <si>
    <t>Редактировать</t>
  </si>
  <si>
    <t>Factory ID</t>
  </si>
  <si>
    <t xml:space="preserve">Factory ID </t>
  </si>
  <si>
    <t>Идентификатор (ID) фабрики</t>
  </si>
  <si>
    <t>11..20 атрибуты,специализированные именно для этой линии продуктов.</t>
  </si>
  <si>
    <t>Название ГА {1}</t>
  </si>
  <si>
    <t xml:space="preserve">отображает список </t>
  </si>
  <si>
    <t>1..10 атрибуты, рекомендуется устанавливать одинаковыми для всех линий продуктов (статья затрат, страна, город)</t>
  </si>
  <si>
    <t>Factory konnte nicht angelegt werden, da bereits vorhanden oder ID leer.</t>
  </si>
  <si>
    <t>Factory could not be created, because it already exists or ID empty.</t>
  </si>
  <si>
    <t>Strukturdatenimport für Planning Factory 3.0.7</t>
  </si>
  <si>
    <t>Tabelle anlegen</t>
  </si>
  <si>
    <t>Laden</t>
  </si>
  <si>
    <t>&lt;keine&gt;</t>
  </si>
  <si>
    <t>Favoriten speichern</t>
  </si>
  <si>
    <t>Masterheader</t>
  </si>
  <si>
    <t>1. Mastertabelle an beliebige Stelle im Blatt verschieben</t>
  </si>
  <si>
    <t>3. diesen Namen bei Tabellename XLS eintragen</t>
  </si>
  <si>
    <t>Tabellenname XLS</t>
  </si>
  <si>
    <t>Tabellenname SQL Server</t>
  </si>
  <si>
    <t>1. diese Blatt muss erzeugt sein, bevor der PowerQuery definiert wird</t>
  </si>
  <si>
    <t>2. Bei "Laden in" das Query Ergebnis in dieses Blatt laden lassen, dabei Zielzelle definieren, z.B. C13</t>
  </si>
  <si>
    <t>Name der PowerQuery Tabelle in XLS</t>
  </si>
  <si>
    <t>TabellenName im SQL Server</t>
  </si>
  <si>
    <t>4. Das Feld Musterheader über die Tabelle schieben und aufziehen</t>
  </si>
  <si>
    <t>5. Header vom Datentyp passend belegen</t>
  </si>
  <si>
    <t>6. Tabellenname auf SQL definieren und speichern</t>
  </si>
  <si>
    <t>JA</t>
  </si>
  <si>
    <t>7. Tabelle anlegen auf "JA" belassen, es sei den man hat diese schon PASSEND (!!) angelegt</t>
  </si>
  <si>
    <t>Vorlage für Power Query Abfragen die auf SQL Server geschrieben werden</t>
  </si>
  <si>
    <t>3. Diesen Tabellennamen bei Tabellename XLS eintragen</t>
  </si>
  <si>
    <t>Vorlage für Tabellen die auf SQL Server geschrieben werden</t>
  </si>
  <si>
    <t>Inhalt</t>
  </si>
  <si>
    <t>Grundsätze</t>
  </si>
  <si>
    <t>Vorlage für Excel Tabellen die auf SQL Server geschrieben und von dort geladen werden können.</t>
  </si>
  <si>
    <t>Vorlage um PowerQuery Tabellen auf den SQL Server zu exportieren.</t>
  </si>
  <si>
    <t>XLS Framework</t>
  </si>
  <si>
    <t>xls2sql</t>
  </si>
  <si>
    <t>in Zelle B1 der SQL Vorlagen steht der Typ der Vorlage</t>
  </si>
  <si>
    <t>Links auf Masterseiten müssen an gleicher Stelle stehen, da Kopierfunktion diese Zellen referenziert</t>
  </si>
  <si>
    <t>Liste der Tabellen</t>
  </si>
  <si>
    <t>2. Mastertabelle benennen (anklicken -&gt;  Entwurf)</t>
  </si>
  <si>
    <t>4. Verbindung der Mastertabelle (Entwurf -&gt; Aktualisieren -&gt; Verb.Eigenschaften) mit "DB_"[Tabellenname] benennen.</t>
  </si>
  <si>
    <t>8. Tabelle anlegen auf "JA" belassen, es sei den man hat diese schon PASSEND (!!) auf dem SQL Server angelegt</t>
  </si>
  <si>
    <t>Unterstützt Reload vom SQL Server (Multiuserbetrieb)</t>
  </si>
  <si>
    <t>Unterstützt per Formel berechnete Spalten, Formeln im Kopf ersetzen beim Laden den gespeicherten Wert.</t>
  </si>
  <si>
    <t>Kein Reload / Formeln, da komplett von PowerQuery gesteuert.</t>
  </si>
  <si>
    <t>Zuerst muss im Reiter "DB" eine Datenbankverbindung mit Schreibrechten auf eine MSSQL Server Datenbank definiert werden.</t>
  </si>
  <si>
    <t>Framework für XLS basierte Datenbankoperationen auf MSSQLServer ab Version 2008 R2</t>
  </si>
  <si>
    <t>Prämissen im XLS Framework - nur Info für Entwickler</t>
  </si>
  <si>
    <t>Startseite</t>
  </si>
  <si>
    <t>Diese Seite wird mit Hinweisen / Links für Endanwender gefüllt.</t>
  </si>
  <si>
    <t>( Im Modus "Fachadministrator" wird die Seite Admin mit Hinweisen für "Fachadministratoren" sichtbar. )</t>
  </si>
  <si>
    <t>Feld1</t>
  </si>
  <si>
    <t>&lt;key&gt;</t>
  </si>
  <si>
    <t>varchar</t>
  </si>
  <si>
    <t>6. über dem Datentyp kann eine Formel definiert werden mit # statt =, diese Formel wird beim Laden für die Spalte verwendet.</t>
  </si>
  <si>
    <t>6. jeder Spalten einen Datentyp aus der Auswahlliste geben</t>
  </si>
  <si>
    <t>5. die Tabelle um beliebige Spalten erweitern, Spalten benennen und Headerfelder aufziehen</t>
  </si>
  <si>
    <t>7. diese Formeln muss sich auf die erste Datenzeile beziehen und wird auskopiert, Zellen und Tabellenformeln sind möglich</t>
  </si>
  <si>
    <t>pq2sql</t>
  </si>
  <si>
    <t>und synchronisiert diese</t>
  </si>
  <si>
    <t>dProducts</t>
  </si>
  <si>
    <t>NameShort</t>
  </si>
  <si>
    <t>Status</t>
  </si>
  <si>
    <t>GlobalAttribute1</t>
  </si>
  <si>
    <t>GlobalAttribute2</t>
  </si>
  <si>
    <t>GlobalAttribute3</t>
  </si>
  <si>
    <t>GlobalAttribute4</t>
  </si>
  <si>
    <t>GlobalAttribute5</t>
  </si>
  <si>
    <t>GlobalAttribute6</t>
  </si>
  <si>
    <t>GlobalAttribute7</t>
  </si>
  <si>
    <t>GlobalAttribute8</t>
  </si>
  <si>
    <t>GlobalAttribute9</t>
  </si>
  <si>
    <t>GlobalAttribute10</t>
  </si>
  <si>
    <t>GlobalAttribute11</t>
  </si>
  <si>
    <t>GlobalAttribute12</t>
  </si>
  <si>
    <t>GlobalAttribute13</t>
  </si>
  <si>
    <t>GlobalAttribute14</t>
  </si>
  <si>
    <t>GlobalAttribute15</t>
  </si>
  <si>
    <t>GlobalAttribute16</t>
  </si>
  <si>
    <t>GlobalAttribute17</t>
  </si>
  <si>
    <t>GlobalAttribute18</t>
  </si>
  <si>
    <t>GlobalAttribute19</t>
  </si>
  <si>
    <t>GlobalAttribute20</t>
  </si>
  <si>
    <t>GlobalAttribute21</t>
  </si>
  <si>
    <t>GlobalAttribute22</t>
  </si>
  <si>
    <t>GlobalAttribute23</t>
  </si>
  <si>
    <t>GlobalAttribute24</t>
  </si>
  <si>
    <t>GlobalAttribute25</t>
  </si>
  <si>
    <t>ResponsiblePerson</t>
  </si>
  <si>
    <t>Template</t>
  </si>
  <si>
    <t>NameLong</t>
  </si>
  <si>
    <t>TimeType</t>
  </si>
  <si>
    <t>CommentUser</t>
  </si>
  <si>
    <t>CommentDev</t>
  </si>
  <si>
    <t>ImageName</t>
  </si>
  <si>
    <t>TemplateVersion</t>
  </si>
  <si>
    <t>Parameterverwaltung</t>
  </si>
  <si>
    <t>xls2pfpl</t>
  </si>
  <si>
    <t>2. Kopieren, verknüpfen oder verabfragen Sie Daten in die Tabelle</t>
  </si>
  <si>
    <t>3. Sie könnten die Tabelle auch per Abfrage oder PQ neu erstellen</t>
  </si>
  <si>
    <t>Uplink auslösen</t>
  </si>
  <si>
    <t>&lt;ignore&gt;</t>
  </si>
  <si>
    <t>Liste der Sichten</t>
  </si>
  <si>
    <t>Blattvorlage</t>
  </si>
  <si>
    <t>Delete Products</t>
  </si>
  <si>
    <t>kopiert ein leere Blattvorlage (ohne Funktionen, nur Layout)</t>
  </si>
  <si>
    <t>Diese Excel Mappe ermöglicht Operationen von XLS Tabellen auf dem SQL Server und in PlanningFactory.</t>
  </si>
  <si>
    <t>Uplink für die Synchronisation von Objekten in xls Tabellen mit einer PlanningFactory ProductLine 3.0.7</t>
  </si>
  <si>
    <t>tblUplink</t>
  </si>
  <si>
    <t>True</t>
  </si>
  <si>
    <t>Funktionen</t>
  </si>
  <si>
    <t>Datenbankmodul</t>
  </si>
  <si>
    <t>Verbindungsdefinition</t>
  </si>
  <si>
    <t>Rechtetest</t>
  </si>
  <si>
    <t>Verbindungsupdate für alle Verbindungen der  Mappe</t>
  </si>
  <si>
    <t>Best Practices</t>
  </si>
  <si>
    <t>Header von ListObject Tabellen ausblenden und User Pseudoheader präsentieren</t>
  </si>
  <si>
    <t>Umschalter für Arbeitsmodus</t>
  </si>
  <si>
    <t>Anwender / Fachadministrator / Developer</t>
  </si>
  <si>
    <t>Zeilen / Spalten / Blätter blenden sich nach Anwendermodus</t>
  </si>
  <si>
    <t>Framework für XLS basierte Datenbankoperationen auf MSSQLServer ab Version 2012</t>
  </si>
  <si>
    <t>Multilanguage Modul</t>
  </si>
  <si>
    <t>Anwendersprachen können konfiguriert und zur Laufzeit umgeschaltet werden</t>
  </si>
  <si>
    <t>Beschreibung</t>
  </si>
  <si>
    <t>Übertragung der Personalstammdaten aus Sage in die PlanningFactory Personal der Firma Muster</t>
  </si>
  <si>
    <t>ProductLineID</t>
  </si>
  <si>
    <t>6. TabellenSpalten, die nicht für PlanningFactory relevant sind, markieren Sie mit &lt;ignore&gt;</t>
  </si>
  <si>
    <t>1. Konfigurieren Sie die Tabellen nach Ihren Wünschen mit beliebigen Spalten</t>
  </si>
  <si>
    <t>Spalte1</t>
  </si>
  <si>
    <t>Spalte2</t>
  </si>
  <si>
    <t>Spalte3</t>
  </si>
  <si>
    <t>Spalte4</t>
  </si>
  <si>
    <t>Spalte5</t>
  </si>
  <si>
    <t>Spalte6</t>
  </si>
  <si>
    <t>Spalte7</t>
  </si>
  <si>
    <t>tblUplink2</t>
  </si>
  <si>
    <t>TimeID</t>
  </si>
  <si>
    <t>fValues</t>
  </si>
  <si>
    <t>Uplink2PF</t>
  </si>
  <si>
    <t>ValueFormula</t>
  </si>
  <si>
    <t>ValueInt</t>
  </si>
  <si>
    <t>ValueText</t>
  </si>
  <si>
    <t>ValueComment</t>
  </si>
  <si>
    <t>Spalte8</t>
  </si>
  <si>
    <t>Spalte9</t>
  </si>
  <si>
    <t>Unikum_VM</t>
  </si>
  <si>
    <t>NO</t>
  </si>
  <si>
    <t>Uplink für die Synchronisation von Values in xls Tabellen mit einer PlanningFactory 3.0.7</t>
  </si>
  <si>
    <t>DefaultTemplate</t>
  </si>
  <si>
    <t>GlobalAttributeSource1</t>
  </si>
  <si>
    <t>GlobalAttributeAlias1</t>
  </si>
  <si>
    <t>GlobalAttributeSource2</t>
  </si>
  <si>
    <t>GlobalAttributeAlias2</t>
  </si>
  <si>
    <t>GlobalAttributeSource3</t>
  </si>
  <si>
    <t>GlobalAttributeAlias3</t>
  </si>
  <si>
    <t>GlobalAttributeSource4</t>
  </si>
  <si>
    <t>GlobalAttributeAlias4</t>
  </si>
  <si>
    <t>GlobalAttributeSource5</t>
  </si>
  <si>
    <t>GlobalAttributeAlias5</t>
  </si>
  <si>
    <t>GlobalAttributeSource6</t>
  </si>
  <si>
    <t>GlobalAttributeAlias6</t>
  </si>
  <si>
    <t>GlobalAttributeSource7</t>
  </si>
  <si>
    <t>GlobalAttributeAlias7</t>
  </si>
  <si>
    <t>GlobalAttributeSource8</t>
  </si>
  <si>
    <t>GlobalAttributeAlias8</t>
  </si>
  <si>
    <t>GlobalAttributeSource9</t>
  </si>
  <si>
    <t>GlobalAttributeAlias9</t>
  </si>
  <si>
    <t>GlobalAttributeSource10</t>
  </si>
  <si>
    <t>GlobalAttributeAlias10</t>
  </si>
  <si>
    <t>GlobalAttributeSource11</t>
  </si>
  <si>
    <t>GlobalAttributeAlias11</t>
  </si>
  <si>
    <t>GlobalAttributeSource12</t>
  </si>
  <si>
    <t>GlobalAttributeAlias12</t>
  </si>
  <si>
    <t>GlobalAttributeSource13</t>
  </si>
  <si>
    <t>GlobalAttributeAlias13</t>
  </si>
  <si>
    <t>GlobalAttributeSource14</t>
  </si>
  <si>
    <t>GlobalAttributeAlias14</t>
  </si>
  <si>
    <t>GlobalAttributeSource15</t>
  </si>
  <si>
    <t>GlobalAttributeAlias15</t>
  </si>
  <si>
    <t>GlobalAttributeSource16</t>
  </si>
  <si>
    <t>GlobalAttributeAlias16</t>
  </si>
  <si>
    <t>GlobalAttributeSource17</t>
  </si>
  <si>
    <t>GlobalAttributeAlias17</t>
  </si>
  <si>
    <t>GlobalAttributeSource18</t>
  </si>
  <si>
    <t>GlobalAttributeAlias18</t>
  </si>
  <si>
    <t>GlobalAttributeSource19</t>
  </si>
  <si>
    <t>GlobalAttributeAlias19</t>
  </si>
  <si>
    <t>GlobalAttributeSource20</t>
  </si>
  <si>
    <t>GlobalAttributeAlias20</t>
  </si>
  <si>
    <t>GlobalAttributeSource21</t>
  </si>
  <si>
    <t>GlobalAttributeAlias21</t>
  </si>
  <si>
    <t>GlobalAttributeSource22</t>
  </si>
  <si>
    <t>GlobalAttributeAlias22</t>
  </si>
  <si>
    <t>GlobalAttributeSource23</t>
  </si>
  <si>
    <t>GlobalAttributeAlias23</t>
  </si>
  <si>
    <t>GlobalAttributeSource24</t>
  </si>
  <si>
    <t>GlobalAttributeAlias24</t>
  </si>
  <si>
    <t>GlobalAttributeSource25</t>
  </si>
  <si>
    <t>GlobalAttributeAlias25</t>
  </si>
  <si>
    <t>dProductLines</t>
  </si>
  <si>
    <t>Delete ProductLines</t>
  </si>
  <si>
    <t>Uplink für die Synchronisation von Objekten in xls Tabellen mit einer PlanningFactory 3.0.7</t>
  </si>
  <si>
    <t>dFactories</t>
  </si>
  <si>
    <t>Delete Factories</t>
  </si>
  <si>
    <t>xls2pfp</t>
  </si>
  <si>
    <t>xls2pff</t>
  </si>
  <si>
    <t>xls2pfv</t>
  </si>
  <si>
    <t xml:space="preserve">xls2sql Vorlage </t>
  </si>
  <si>
    <t xml:space="preserve">PowerQuery Vorlage </t>
  </si>
  <si>
    <t>Leere Vorlage</t>
  </si>
  <si>
    <t>Planning Factory Uplinkvorlagen</t>
  </si>
  <si>
    <t>Überführt eine Tabelle in ein PlanningFactory DatenBank</t>
  </si>
  <si>
    <t>5. Definieren Sie die FactoryID, ProductlineID und ProuctID für die Uplinkvalues (zeilenweise in der Tabelle oder in der entsprechende Felder). Zeilenwerte haben Vorrang.</t>
  </si>
  <si>
    <t>7. ValueSeriesID und TimeID sind erforderliche Spalten für Valuesuplink.</t>
  </si>
  <si>
    <t>Ziel: Aus jeder Tabellenzeile wird ein DatenSatz in der Values-Tabelle in Planning Factory erzeugt</t>
  </si>
  <si>
    <t xml:space="preserve">Microsoft SQL Server 2012 </t>
  </si>
  <si>
    <t>SP2</t>
  </si>
  <si>
    <t>Uplink_nach_Template</t>
  </si>
  <si>
    <t>xls2pfvT</t>
  </si>
  <si>
    <t>AbreitsStelle</t>
  </si>
  <si>
    <t>Kosten pro Stunde</t>
  </si>
  <si>
    <t>Kosten am Tag</t>
  </si>
  <si>
    <t>St_20120</t>
  </si>
  <si>
    <t>testUplink1</t>
  </si>
  <si>
    <t>testUplink2</t>
  </si>
  <si>
    <t>testUplink3</t>
  </si>
  <si>
    <t>St_20130</t>
  </si>
  <si>
    <t>testUplink4</t>
  </si>
  <si>
    <t>testUplink5</t>
  </si>
  <si>
    <t>testUplink6</t>
  </si>
  <si>
    <t>St_20132</t>
  </si>
  <si>
    <t>testUplink7</t>
  </si>
  <si>
    <t>testUplink8</t>
  </si>
  <si>
    <t>testUplink9</t>
  </si>
  <si>
    <t>Tabelle1</t>
  </si>
  <si>
    <t>Bearbeitungstext</t>
  </si>
  <si>
    <t>Template laden</t>
  </si>
  <si>
    <t>K2</t>
  </si>
  <si>
    <t>K3</t>
  </si>
  <si>
    <t>Tag</t>
  </si>
  <si>
    <t>Voraussetzungen</t>
  </si>
  <si>
    <t>Auf Start -Seite Vorlage -"ValuesUplink nach PF Template" kopieren</t>
  </si>
  <si>
    <t>Daten einfügen</t>
  </si>
  <si>
    <t>Erforderliche Template auswählen</t>
  </si>
  <si>
    <t>"Template laden" klicken</t>
  </si>
  <si>
    <t>Ablauf</t>
  </si>
  <si>
    <t>TimeID  anpassen</t>
  </si>
  <si>
    <t>Uplink ausführen</t>
  </si>
  <si>
    <t>- Verbindung mit PlanningFactory Datenbank ist vorhanden</t>
  </si>
  <si>
    <t xml:space="preserve"> nur die gefilterte Daten werden in PF geschrieben.</t>
  </si>
  <si>
    <t>Die TimeID Spalte könnte informativ sein oder im Uplink benutzt werden.</t>
  </si>
  <si>
    <t>4. Ordnern Sie den Tabellenspalten, die in PlanningFactory als Eigenschaft verwendet werden sollen</t>
  </si>
  <si>
    <t>Template3</t>
  </si>
  <si>
    <t>- Die Anwendertabelle soll nur Values der Products enthalten, die für den gleichen Templatetyp gelten.</t>
  </si>
  <si>
    <t xml:space="preserve">Anwendertabellespalten und/oder Auswahlliste nach der Templatedefinition zuordnen </t>
  </si>
  <si>
    <t>oder in der entsprechende Felder definiert werden. Zeilenwerte haben Vorrang.</t>
  </si>
  <si>
    <t>- Im Hintergrund werden alle Templates der angebundene PF_DB  in eine Auswahlliste geladen</t>
  </si>
  <si>
    <t>- Die Anwendertabelle wird vom Anwender auf beliebigen Weg erzeugt (Kopieren, verknüpfen oder verabfragen die Daten in die Tabelle)</t>
  </si>
  <si>
    <t>- Der Name der Anwendertabelle wird im Feld "Tabellenname XLS" eingetragen</t>
  </si>
  <si>
    <t>- &lt;optional&gt; -Die Anwendertabelle konnte auch auf einen bestimmten Wert gefiltert werden und</t>
  </si>
  <si>
    <t>- Man kann auch solche Filter verwenden, um ein einziges Product aus der Tabelle uplinken.</t>
  </si>
  <si>
    <t>- Man muss aus der Templateauswahlliste, geltende für alle Products, Template auswählen.</t>
  </si>
  <si>
    <t xml:space="preserve">- Es werden die WertreihenIDs für ausgewählte Template geladen. </t>
  </si>
  <si>
    <t>- Über der AnwenderTabelle werden Auswahlliste von den Wertreihen erzeugt.</t>
  </si>
  <si>
    <t>- In der Auswahlliste werden auch UplinksParametern geschrieben (s.w. &lt;ignore&gt;,ProductID, FactoryID etc.)</t>
  </si>
  <si>
    <t xml:space="preserve">-  TimeIDs aus Template werden geladen und  vor der erste Spalte der Anwendertabelle als TimeID-Spalte  erzeugt. </t>
  </si>
  <si>
    <t xml:space="preserve">- Die Tabellenspaltendaten müssen der entsprechenden WertreihenID zugeordnet werden. </t>
  </si>
  <si>
    <t>- Man kann entweder die Anwendertabellespalten anpassen oder eine WertreiheID  aus der  Auswahlliste festlegen.</t>
  </si>
  <si>
    <t xml:space="preserve">- UplinkParametern (ProductLineID, FactoryID, ProductID) müssen entweder zeilenweise in der Tabelle </t>
  </si>
  <si>
    <t>- TimeIDs werden nur für visible Zeihlen geschrieben.</t>
  </si>
  <si>
    <t xml:space="preserve">TimeID muss entweder  in der Vorspalte oder zeihlenweise in der Tabelle (per Formula / SVERWEIS / manuell) definiert werden. </t>
  </si>
  <si>
    <t>Die Tabellespalte &lt;TimeID&gt;, wenn angegeben wurde,  hat vorrang beim Ausführung des Uplinks</t>
  </si>
  <si>
    <t>Ziel: Aus jeder Tabellenzeile wird ein DatenSatz in der Values-Tabelle in PlanningFactory erzeugt</t>
  </si>
  <si>
    <t xml:space="preserve">4. Definieren Sie die FactoryID, ProductlineID und ProuctID für die Uplinkvalues </t>
  </si>
  <si>
    <t>1. Kopieren, verknüpfen oder verabfragen Sie Daten in die Tabelle</t>
  </si>
  <si>
    <t xml:space="preserve">      (zeilenweise in der Tabelle oder in der entsprechende Felder). Zeilenwerte haben Vorrang.</t>
  </si>
  <si>
    <t>2. Sie könnten die Tabelle auch per Abfrage oder PQ neu erstellen</t>
  </si>
  <si>
    <r>
      <t xml:space="preserve">5. </t>
    </r>
    <r>
      <rPr>
        <sz val="8"/>
        <color theme="0" tint="-0.499984740745262"/>
        <rFont val="Calibri"/>
        <family val="2"/>
        <scheme val="minor"/>
      </rPr>
      <t>Spalten, die nicht für PlanningFactory relevant sind, markieren Sie mit &lt;ignore&gt;</t>
    </r>
  </si>
  <si>
    <t>3. Ordnern Sie den Tabellenspalten, die in PlanningFactory als Eigenschaft verwendet werden sollen</t>
  </si>
  <si>
    <r>
      <t>6.</t>
    </r>
    <r>
      <rPr>
        <b/>
        <sz val="8"/>
        <color theme="0" tint="-0.499984740745262"/>
        <rFont val="Calibri"/>
        <family val="2"/>
        <scheme val="minor"/>
      </rPr>
      <t xml:space="preserve"> ValueSeriesID</t>
    </r>
    <r>
      <rPr>
        <sz val="8"/>
        <color theme="0" tint="-0.499984740745262"/>
        <rFont val="Calibri"/>
        <family val="2"/>
        <scheme val="minor"/>
      </rPr>
      <t xml:space="preserve"> und </t>
    </r>
    <r>
      <rPr>
        <b/>
        <sz val="8"/>
        <color theme="0" tint="-0.499984740745262"/>
        <rFont val="Calibri"/>
        <family val="2"/>
        <scheme val="minor"/>
      </rPr>
      <t xml:space="preserve">TimeID </t>
    </r>
    <r>
      <rPr>
        <sz val="8"/>
        <color theme="0" tint="-0.499984740745262"/>
        <rFont val="Calibri"/>
        <family val="2"/>
        <scheme val="minor"/>
      </rPr>
      <t>sind erforderliche Spalten für Valuesuplink.</t>
    </r>
  </si>
  <si>
    <t>Beschreibung die Daten, die in der PlanningFactory übertragen werden</t>
  </si>
  <si>
    <t xml:space="preserve">       Ziel: Aus jeder Tabellenzeile wird ein Product in Planning Factory erzeugt</t>
  </si>
  <si>
    <t>4. Definieren Sie die FactoryID, ProductlineID und Template für die Uplinkproducts</t>
  </si>
  <si>
    <t>5. ProductID ist erforderliche Spalte für UplinkTabelle. Spalten, die nicht für PlanningFactory relevant sind, markieren Sie mit &lt;ignore&gt;</t>
  </si>
  <si>
    <t>6. Definieren Sie, ob Objekte die in der Tabelle nicht mehr vorhanden sind, auch in PlanningFactory gelöscht werden sollen.</t>
  </si>
  <si>
    <t>Ziel: Aus jeder Tabellenzeile wird eine ProductLine in PlanningFactory erzeugt</t>
  </si>
  <si>
    <t xml:space="preserve">4. Definieren Sie die FactoryID für die UplinkProdutLines </t>
  </si>
  <si>
    <t xml:space="preserve">     (zeilenweise in der Tabelle oder in der entsprechende Felder). Zeilenwerte haben Vorrang.</t>
  </si>
  <si>
    <t xml:space="preserve">5. ProductLineID und Nameshort  sind erforderliche Spalten für UplinkTabelle. Spalten, die nicht für PlanningFactory relevant sind, markieren Sie mit &lt;ignore&gt;. </t>
  </si>
  <si>
    <t>Ziel: Aus jeder Tabellenzeile wird eine Factory in PlanningFactory erzeugt</t>
  </si>
  <si>
    <t>4. Definieren Sie die FactoryID und NameShort für die Uplinkfactories . Die sind  erforderliche Spalten für den Uplink.</t>
  </si>
  <si>
    <t>5. FactoryID und Nameshort  sind erforderliche Spalten für UplinkTabelle. Spalten, die nicht für PlanningFactory relevant sind, markieren Sie mit &lt;ignore&gt;</t>
  </si>
  <si>
    <t>Vorlage aktivieren</t>
  </si>
  <si>
    <t>DevFlag</t>
  </si>
  <si>
    <t>PlanningFactory4k</t>
  </si>
  <si>
    <t>Der Server . wurde zuletzt verbunden am 26.11.2015 um 09:32:16 Uhr. Der User darf Datenbanken anlegen.</t>
  </si>
  <si>
    <t>Die Datenbank PlanningFactory4k wurde mit vollen Datenbankzugriffsrechten verbunden am 26.11.2015 um 09:32:16 Uhr.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</si>
</sst>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1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rgb="FF00206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6"/>
      <color rgb="FFFFFFFF"/>
      <name val="Calibri"/>
      <family val="2"/>
      <scheme val="minor"/>
    </font>
    <font>
      <u/>
      <sz val="12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9"/>
      <color rgb="FF00206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2"/>
      <color rgb="FF000000"/>
      <name val="Calibri"/>
      <family val="2"/>
      <scheme val="minor"/>
    </font>
    <font>
      <i/>
      <sz val="12"/>
      <color rgb="FFFFFFFF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u/>
      <sz val="9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i/>
      <u/>
      <sz val="9"/>
      <color theme="0" tint="-0.499984740745262"/>
      <name val="Calibri"/>
      <family val="2"/>
      <scheme val="minor"/>
    </font>
    <font>
      <u val="double"/>
      <sz val="9"/>
      <color rgb="FF002060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0" tint="-0.249977111117893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0"/>
      <color rgb="FF002060"/>
      <name val="Calibri"/>
      <family val="2"/>
      <scheme val="minor"/>
    </font>
    <font>
      <i/>
      <sz val="8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indexed="81"/>
      <name val="Segoe UI"/>
      <family val="2"/>
    </font>
    <font>
      <sz val="11"/>
      <color rgb="FF0070C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rgb="FF00008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D7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CC00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 style="hair">
        <color theme="0" tint="-0.3499862666707357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hair">
        <color theme="3" tint="-0.24994659260841701"/>
      </left>
      <right style="hair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indexed="64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indexed="64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indexed="64"/>
      </bottom>
      <diagonal/>
    </border>
    <border>
      <left/>
      <right/>
      <top style="dashed">
        <color theme="0" tint="-0.14993743705557422"/>
      </top>
      <bottom style="dashed">
        <color theme="0" tint="-0.14993743705557422"/>
      </bottom>
      <diagonal/>
    </border>
    <border>
      <left/>
      <right style="dashed">
        <color theme="0" tint="-0.14996795556505021"/>
      </right>
      <top style="dashed">
        <color theme="0" tint="-0.14993743705557422"/>
      </top>
      <bottom style="dashed">
        <color theme="0" tint="-0.1499374370555742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7" fillId="4" borderId="6" applyAlignment="0"/>
    <xf numFmtId="4" fontId="7" fillId="0" borderId="7"/>
    <xf numFmtId="0" fontId="4" fillId="0" borderId="0" applyNumberFormat="0" applyFill="0" applyBorder="0" applyAlignment="0" applyProtection="0"/>
    <xf numFmtId="0" fontId="34" fillId="0" borderId="0"/>
  </cellStyleXfs>
  <cellXfs count="161">
    <xf numFmtId="0" fontId="0" fillId="0" borderId="0" xfId="0"/>
    <xf numFmtId="0" fontId="3" fillId="0" borderId="0" xfId="0" applyFont="1"/>
    <xf numFmtId="49" fontId="4" fillId="0" borderId="0" xfId="0" applyNumberFormat="1" applyFont="1" applyFill="1"/>
    <xf numFmtId="0" fontId="5" fillId="0" borderId="1" xfId="0" applyFont="1" applyBorder="1"/>
    <xf numFmtId="0" fontId="6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/>
    <xf numFmtId="0" fontId="10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2" fillId="5" borderId="0" xfId="0" applyFont="1" applyFill="1"/>
    <xf numFmtId="0" fontId="13" fillId="5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9" fillId="6" borderId="0" xfId="0" applyFont="1" applyFill="1" applyAlignment="1">
      <alignment horizontal="left"/>
    </xf>
    <xf numFmtId="0" fontId="16" fillId="7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16" fillId="5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17" fillId="6" borderId="0" xfId="1" applyFont="1" applyFill="1" applyAlignment="1">
      <alignment horizontal="left"/>
    </xf>
    <xf numFmtId="0" fontId="0" fillId="0" borderId="0" xfId="0" applyFill="1"/>
    <xf numFmtId="0" fontId="19" fillId="6" borderId="0" xfId="0" applyFont="1" applyFill="1" applyAlignment="1">
      <alignment horizontal="left"/>
    </xf>
    <xf numFmtId="0" fontId="4" fillId="0" borderId="0" xfId="4"/>
    <xf numFmtId="0" fontId="15" fillId="0" borderId="0" xfId="0" applyFont="1"/>
    <xf numFmtId="0" fontId="20" fillId="0" borderId="0" xfId="0" applyFont="1"/>
    <xf numFmtId="0" fontId="0" fillId="0" borderId="0" xfId="0"/>
    <xf numFmtId="0" fontId="1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0" fillId="0" borderId="0" xfId="0" pivotButton="1"/>
    <xf numFmtId="0" fontId="22" fillId="7" borderId="0" xfId="0" applyFont="1" applyFill="1" applyAlignment="1">
      <alignment horizontal="left"/>
    </xf>
    <xf numFmtId="0" fontId="24" fillId="6" borderId="0" xfId="0" applyFont="1" applyFill="1" applyAlignment="1">
      <alignment horizontal="left"/>
    </xf>
    <xf numFmtId="0" fontId="15" fillId="0" borderId="0" xfId="0" applyFont="1" applyBorder="1"/>
    <xf numFmtId="0" fontId="0" fillId="0" borderId="0" xfId="0" applyAlignment="1"/>
    <xf numFmtId="0" fontId="0" fillId="0" borderId="0" xfId="0" applyFont="1"/>
    <xf numFmtId="0" fontId="2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4" fillId="0" borderId="0" xfId="4" applyFill="1" applyAlignment="1">
      <alignment horizontal="left"/>
    </xf>
    <xf numFmtId="0" fontId="0" fillId="0" borderId="0" xfId="0"/>
    <xf numFmtId="0" fontId="15" fillId="0" borderId="8" xfId="0" applyFont="1" applyBorder="1"/>
    <xf numFmtId="0" fontId="0" fillId="0" borderId="8" xfId="0" applyBorder="1"/>
    <xf numFmtId="0" fontId="21" fillId="0" borderId="0" xfId="0" applyFont="1"/>
    <xf numFmtId="0" fontId="14" fillId="0" borderId="9" xfId="4" applyFont="1" applyFill="1" applyBorder="1"/>
    <xf numFmtId="0" fontId="15" fillId="0" borderId="10" xfId="0" applyFont="1" applyBorder="1"/>
    <xf numFmtId="0" fontId="27" fillId="0" borderId="0" xfId="0" applyFont="1"/>
    <xf numFmtId="0" fontId="3" fillId="6" borderId="0" xfId="0" applyFont="1" applyFill="1" applyAlignment="1">
      <alignment horizontal="left"/>
    </xf>
    <xf numFmtId="0" fontId="28" fillId="0" borderId="0" xfId="4" applyFont="1" applyAlignment="1">
      <alignment horizontal="right"/>
    </xf>
    <xf numFmtId="0" fontId="11" fillId="0" borderId="0" xfId="0" applyFont="1" applyFill="1" applyAlignment="1">
      <alignment horizontal="left"/>
    </xf>
    <xf numFmtId="0" fontId="14" fillId="0" borderId="0" xfId="4" applyFont="1" applyFill="1" applyBorder="1"/>
    <xf numFmtId="49" fontId="29" fillId="0" borderId="0" xfId="0" applyNumberFormat="1" applyFont="1" applyFill="1"/>
    <xf numFmtId="0" fontId="30" fillId="0" borderId="0" xfId="0" applyFont="1"/>
    <xf numFmtId="3" fontId="0" fillId="0" borderId="0" xfId="0" applyNumberFormat="1"/>
    <xf numFmtId="0" fontId="0" fillId="0" borderId="0" xfId="0"/>
    <xf numFmtId="0" fontId="1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0" fillId="8" borderId="0" xfId="0" applyFill="1"/>
    <xf numFmtId="0" fontId="31" fillId="0" borderId="0" xfId="0" applyFont="1" applyFill="1"/>
    <xf numFmtId="0" fontId="32" fillId="0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9" fillId="5" borderId="0" xfId="0" applyFont="1" applyFill="1" applyAlignment="1">
      <alignment horizontal="right"/>
    </xf>
    <xf numFmtId="0" fontId="11" fillId="5" borderId="0" xfId="0" applyFont="1" applyFill="1" applyAlignment="1">
      <alignment horizontal="right"/>
    </xf>
    <xf numFmtId="0" fontId="16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0" fillId="9" borderId="0" xfId="0" applyFill="1"/>
    <xf numFmtId="0" fontId="25" fillId="0" borderId="0" xfId="0" applyFont="1"/>
    <xf numFmtId="0" fontId="33" fillId="0" borderId="0" xfId="0" applyFont="1"/>
    <xf numFmtId="0" fontId="33" fillId="5" borderId="0" xfId="0" applyFont="1" applyFill="1" applyAlignment="1">
      <alignment horizontal="right"/>
    </xf>
    <xf numFmtId="0" fontId="33" fillId="8" borderId="0" xfId="0" applyFont="1" applyFill="1"/>
    <xf numFmtId="0" fontId="0" fillId="8" borderId="0" xfId="0" applyNumberFormat="1" applyFill="1"/>
    <xf numFmtId="0" fontId="18" fillId="0" borderId="0" xfId="4" applyFont="1"/>
    <xf numFmtId="0" fontId="12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/>
    <xf numFmtId="0" fontId="4" fillId="7" borderId="0" xfId="4" applyFill="1" applyAlignment="1">
      <alignment horizontal="left"/>
    </xf>
    <xf numFmtId="0" fontId="1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0" fillId="10" borderId="4" xfId="0" applyFill="1" applyBorder="1"/>
    <xf numFmtId="0" fontId="4" fillId="7" borderId="0" xfId="4" applyFill="1" applyAlignment="1">
      <alignment horizontal="center"/>
    </xf>
    <xf numFmtId="0" fontId="0" fillId="0" borderId="0" xfId="0" applyFill="1" applyBorder="1"/>
    <xf numFmtId="0" fontId="1" fillId="6" borderId="0" xfId="1" applyFill="1" applyAlignment="1">
      <alignment horizontal="left"/>
    </xf>
    <xf numFmtId="0" fontId="26" fillId="0" borderId="0" xfId="0" applyFont="1" applyFill="1"/>
    <xf numFmtId="0" fontId="0" fillId="0" borderId="4" xfId="0" quotePrefix="1" applyBorder="1"/>
    <xf numFmtId="0" fontId="1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16" fillId="7" borderId="0" xfId="0" applyFont="1" applyFill="1" applyAlignment="1">
      <alignment horizontal="left"/>
    </xf>
    <xf numFmtId="0" fontId="4" fillId="7" borderId="0" xfId="4" applyFill="1" applyAlignment="1">
      <alignment horizontal="left"/>
    </xf>
    <xf numFmtId="0" fontId="16" fillId="7" borderId="0" xfId="0" applyFont="1" applyFill="1" applyAlignment="1">
      <alignment horizontal="left"/>
    </xf>
    <xf numFmtId="0" fontId="36" fillId="0" borderId="0" xfId="0" applyFont="1" applyFill="1" applyAlignment="1">
      <alignment horizontal="left"/>
    </xf>
    <xf numFmtId="0" fontId="35" fillId="0" borderId="11" xfId="4" applyFont="1" applyBorder="1"/>
    <xf numFmtId="49" fontId="4" fillId="0" borderId="0" xfId="4" applyNumberFormat="1" applyFill="1"/>
    <xf numFmtId="0" fontId="23" fillId="0" borderId="0" xfId="4" applyFont="1"/>
    <xf numFmtId="0" fontId="0" fillId="5" borderId="0" xfId="0" applyFont="1" applyFill="1"/>
    <xf numFmtId="0" fontId="37" fillId="0" borderId="0" xfId="4" applyFont="1"/>
    <xf numFmtId="0" fontId="0" fillId="0" borderId="13" xfId="0" applyBorder="1"/>
    <xf numFmtId="0" fontId="0" fillId="0" borderId="12" xfId="0" applyBorder="1"/>
    <xf numFmtId="0" fontId="12" fillId="0" borderId="12" xfId="0" applyFont="1" applyBorder="1"/>
    <xf numFmtId="0" fontId="26" fillId="11" borderId="14" xfId="0" applyFont="1" applyFill="1" applyBorder="1"/>
    <xf numFmtId="0" fontId="26" fillId="0" borderId="0" xfId="0" applyFont="1" applyFill="1" applyAlignment="1">
      <alignment horizontal="center"/>
    </xf>
    <xf numFmtId="0" fontId="38" fillId="0" borderId="0" xfId="0" applyFont="1"/>
    <xf numFmtId="0" fontId="39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6" xfId="0" applyFill="1" applyBorder="1"/>
    <xf numFmtId="0" fontId="0" fillId="10" borderId="0" xfId="0" applyFill="1"/>
    <xf numFmtId="0" fontId="0" fillId="0" borderId="19" xfId="0" applyBorder="1"/>
    <xf numFmtId="0" fontId="26" fillId="0" borderId="20" xfId="0" applyFont="1" applyFill="1" applyBorder="1"/>
    <xf numFmtId="0" fontId="11" fillId="0" borderId="22" xfId="0" applyFont="1" applyFill="1" applyBorder="1" applyAlignment="1">
      <alignment horizontal="left"/>
    </xf>
    <xf numFmtId="0" fontId="0" fillId="0" borderId="18" xfId="0" quotePrefix="1" applyBorder="1" applyAlignment="1">
      <alignment horizontal="left" vertical="center"/>
    </xf>
    <xf numFmtId="0" fontId="0" fillId="0" borderId="21" xfId="0" quotePrefix="1" applyBorder="1" applyAlignment="1">
      <alignment horizontal="left" vertical="center"/>
    </xf>
    <xf numFmtId="0" fontId="20" fillId="0" borderId="0" xfId="0" applyFont="1" applyFill="1"/>
    <xf numFmtId="0" fontId="40" fillId="0" borderId="8" xfId="0" applyFont="1" applyBorder="1"/>
    <xf numFmtId="0" fontId="0" fillId="0" borderId="0" xfId="0" applyAlignment="1">
      <alignment horizontal="left" indent="2"/>
    </xf>
    <xf numFmtId="0" fontId="0" fillId="0" borderId="4" xfId="0" quotePrefix="1" applyBorder="1" applyAlignment="1">
      <alignment horizontal="left" vertical="center"/>
    </xf>
    <xf numFmtId="0" fontId="26" fillId="0" borderId="19" xfId="0" applyFont="1" applyBorder="1" applyAlignment="1">
      <alignment horizontal="right"/>
    </xf>
    <xf numFmtId="0" fontId="11" fillId="0" borderId="0" xfId="0" applyFont="1" applyFill="1" applyBorder="1" applyAlignment="1">
      <alignment horizontal="left"/>
    </xf>
    <xf numFmtId="0" fontId="11" fillId="0" borderId="21" xfId="0" applyFont="1" applyFill="1" applyBorder="1" applyAlignment="1">
      <alignment horizontal="left"/>
    </xf>
    <xf numFmtId="0" fontId="11" fillId="0" borderId="24" xfId="0" applyFont="1" applyFill="1" applyBorder="1" applyAlignment="1">
      <alignment horizontal="left"/>
    </xf>
    <xf numFmtId="0" fontId="26" fillId="0" borderId="0" xfId="0" applyFont="1" applyFill="1" applyAlignment="1">
      <alignment horizontal="left"/>
    </xf>
    <xf numFmtId="0" fontId="36" fillId="0" borderId="23" xfId="0" applyFont="1" applyFill="1" applyBorder="1" applyAlignment="1">
      <alignment horizontal="left"/>
    </xf>
    <xf numFmtId="0" fontId="0" fillId="0" borderId="25" xfId="0" quotePrefix="1" applyBorder="1" applyAlignment="1">
      <alignment horizontal="left" vertical="center"/>
    </xf>
    <xf numFmtId="0" fontId="42" fillId="0" borderId="0" xfId="0" applyFont="1"/>
    <xf numFmtId="0" fontId="42" fillId="0" borderId="0" xfId="0" quotePrefix="1" applyFont="1"/>
    <xf numFmtId="0" fontId="0" fillId="0" borderId="0" xfId="0" applyFont="1" applyAlignment="1">
      <alignment vertical="top"/>
    </xf>
    <xf numFmtId="0" fontId="0" fillId="0" borderId="0" xfId="0" applyAlignment="1">
      <alignment vertical="top"/>
    </xf>
    <xf numFmtId="0" fontId="42" fillId="0" borderId="0" xfId="0" quotePrefix="1" applyFont="1" applyAlignment="1">
      <alignment vertical="top" wrapText="1"/>
    </xf>
    <xf numFmtId="0" fontId="42" fillId="0" borderId="0" xfId="0" quotePrefix="1" applyFont="1" applyAlignment="1">
      <alignment vertical="top"/>
    </xf>
    <xf numFmtId="0" fontId="42" fillId="0" borderId="0" xfId="0" quotePrefix="1" applyFont="1" applyAlignment="1">
      <alignment horizontal="left" vertical="top" wrapText="1"/>
    </xf>
    <xf numFmtId="0" fontId="42" fillId="0" borderId="0" xfId="0" applyFont="1" applyAlignment="1">
      <alignment vertical="top"/>
    </xf>
    <xf numFmtId="0" fontId="0" fillId="0" borderId="0" xfId="0" applyFill="1" applyAlignment="1">
      <alignment horizontal="left"/>
    </xf>
    <xf numFmtId="0" fontId="12" fillId="0" borderId="0" xfId="0" applyFont="1"/>
    <xf numFmtId="0" fontId="0" fillId="0" borderId="26" xfId="0" quotePrefix="1" applyBorder="1" applyAlignment="1">
      <alignment horizontal="left" vertical="center"/>
    </xf>
    <xf numFmtId="0" fontId="43" fillId="0" borderId="0" xfId="0" applyFont="1"/>
    <xf numFmtId="0" fontId="44" fillId="0" borderId="0" xfId="0" applyFont="1"/>
    <xf numFmtId="0" fontId="2" fillId="0" borderId="0" xfId="0" applyFont="1" applyAlignment="1">
      <alignment horizontal="center"/>
    </xf>
    <xf numFmtId="0" fontId="0" fillId="0" borderId="27" xfId="0" applyFont="1" applyFill="1" applyBorder="1"/>
    <xf numFmtId="0" fontId="0" fillId="0" borderId="28" xfId="0" applyFont="1" applyFill="1" applyBorder="1"/>
    <xf numFmtId="0" fontId="0" fillId="12" borderId="0" xfId="0" applyFill="1"/>
    <xf numFmtId="0" fontId="0" fillId="11" borderId="0" xfId="0" applyFill="1"/>
    <xf numFmtId="0" fontId="4" fillId="0" borderId="0" xfId="4" applyFill="1"/>
    <xf numFmtId="0" fontId="0" fillId="11" borderId="4" xfId="0" applyFill="1" applyBorder="1"/>
    <xf numFmtId="0" fontId="45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46" fillId="0" borderId="0" xfId="0" applyFont="1"/>
    <xf numFmtId="0" fontId="45" fillId="0" borderId="0" xfId="0" quotePrefix="1" applyFont="1"/>
    <xf numFmtId="0" fontId="47" fillId="0" borderId="0" xfId="0" applyFont="1"/>
    <xf numFmtId="0" fontId="48" fillId="0" borderId="0" xfId="1" applyFont="1" applyAlignment="1">
      <alignment vertical="top"/>
    </xf>
    <xf numFmtId="0" fontId="48" fillId="0" borderId="0" xfId="1" quotePrefix="1" applyFont="1" applyAlignment="1">
      <alignment vertical="top"/>
    </xf>
    <xf numFmtId="0" fontId="48" fillId="0" borderId="0" xfId="1" quotePrefix="1" applyFont="1"/>
    <xf numFmtId="0" fontId="48" fillId="0" borderId="0" xfId="1" applyFont="1"/>
    <xf numFmtId="0" fontId="48" fillId="0" borderId="23" xfId="1" applyFont="1" applyFill="1" applyBorder="1" applyAlignment="1">
      <alignment horizontal="left"/>
    </xf>
    <xf numFmtId="0" fontId="0" fillId="0" borderId="0" xfId="0" applyFill="1" applyBorder="1"/>
    <xf numFmtId="0" fontId="7" fillId="3" borderId="2" xfId="0" applyFont="1" applyFill="1" applyBorder="1"/>
    <xf numFmtId="0" fontId="7" fillId="3" borderId="0" xfId="0" applyFont="1" applyFill="1" applyBorder="1"/>
    <xf numFmtId="0" fontId="7" fillId="2" borderId="0" xfId="0" applyFont="1" applyFill="1" applyBorder="1"/>
  </cellXfs>
  <cellStyles count="6">
    <cellStyle name="Erklärender Text" xfId="1" builtinId="53"/>
    <cellStyle name="Link" xfId="4" builtinId="8" customBuiltin="1"/>
    <cellStyle name="Standard" xfId="0" builtinId="0"/>
    <cellStyle name="Standard 2" xfId="5"/>
    <cellStyle name="sxAuswahlbox" xfId="2"/>
    <cellStyle name="sxFreitext" xfId="3"/>
  </cellStyles>
  <dxfs count="36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dashed">
          <color theme="0" tint="-0.14996795556505021"/>
        </right>
        <top style="dashed">
          <color theme="0" tint="-0.14993743705557422"/>
        </top>
        <bottom style="dashed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theme="4" tint="0.79995117038483843"/>
          <bgColor theme="0" tint="-4.9989318521683403E-2"/>
        </patternFill>
      </fill>
    </dxf>
    <dxf>
      <fill>
        <patternFill patternType="none">
          <fgColor auto="1"/>
          <bgColor auto="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 val="0"/>
        <i val="0"/>
        <strike val="0"/>
        <u val="none"/>
        <color theme="0"/>
      </font>
      <fill>
        <patternFill>
          <bgColor rgb="FF002060"/>
        </patternFill>
      </fill>
    </dxf>
    <dxf>
      <font>
        <color theme="1"/>
      </font>
      <border>
        <left style="dashed">
          <color theme="0" tint="-0.14996795556505021"/>
        </left>
        <right style="dashed">
          <color theme="0" tint="-0.14996795556505021"/>
        </right>
        <top style="dashed">
          <color theme="0" tint="-0.14996795556505021"/>
        </top>
        <bottom style="dashed">
          <color theme="0" tint="-0.14993743705557422"/>
        </bottom>
        <vertical/>
        <horizontal style="dashed">
          <color theme="0" tint="-0.14993743705557422"/>
        </horizontal>
      </border>
    </dxf>
  </dxfs>
  <tableStyles count="1" defaultTableStyle="TableStyleMedium2" defaultPivotStyle="PivotStyleLight16">
    <tableStyle name="sxProductTable" pivot="0" count="7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</tableStyles>
  <colors>
    <mruColors>
      <color rgb="FF9FD6FF"/>
      <color rgb="FF008000"/>
      <color rgb="FF0000FF"/>
      <color rgb="FF336699"/>
      <color rgb="FFFFCC99"/>
      <color rgb="FFFFFFCC"/>
      <color rgb="FFFF9900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7</xdr:col>
      <xdr:colOff>295275</xdr:colOff>
      <xdr:row>7</xdr:row>
      <xdr:rowOff>0</xdr:rowOff>
    </xdr:to>
    <xdr:sp macro="" textlink="">
      <xdr:nvSpPr>
        <xdr:cNvPr id="4" name="ComboBox1" hidden="1">
          <a:extLst>
            <a:ext uri="{63B3BB69-23CF-44E3-9099-C40C66FF867C}">
              <a14:compatExt xmlns:a14="http://schemas.microsoft.com/office/drawing/2010/main" spid="_x0000_s6147"/>
            </a:ext>
          </a:extLst>
        </xdr:cNvPr>
        <xdr:cNvSpPr/>
      </xdr:nvSpPr>
      <xdr:spPr bwMode="auto">
        <a:xfrm>
          <a:off x="5429250" y="1343025"/>
          <a:ext cx="1323975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1</xdr:row>
          <xdr:rowOff>142875</xdr:rowOff>
        </xdr:from>
        <xdr:to>
          <xdr:col>9</xdr:col>
          <xdr:colOff>876300</xdr:colOff>
          <xdr:row>2</xdr:row>
          <xdr:rowOff>114300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1647825</xdr:colOff>
          <xdr:row>1</xdr:row>
          <xdr:rowOff>85725</xdr:rowOff>
        </xdr:from>
        <xdr:to>
          <xdr:col>9</xdr:col>
          <xdr:colOff>771525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7</xdr:col>
      <xdr:colOff>295275</xdr:colOff>
      <xdr:row>8</xdr:row>
      <xdr:rowOff>0</xdr:rowOff>
    </xdr:to>
    <xdr:sp macro="" textlink="">
      <xdr:nvSpPr>
        <xdr:cNvPr id="4" name="ComboBox1" hidden="1">
          <a:extLst>
            <a:ext uri="{63B3BB69-23CF-44E3-9099-C40C66FF867C}">
              <a14:compatExt xmlns:a14="http://schemas.microsoft.com/office/drawing/2010/main" spid="_x0000_s614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</xdr:row>
          <xdr:rowOff>85725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</xdr:row>
          <xdr:rowOff>85725</xdr:rowOff>
        </xdr:from>
        <xdr:to>
          <xdr:col>10</xdr:col>
          <xdr:colOff>504825</xdr:colOff>
          <xdr:row>2</xdr:row>
          <xdr:rowOff>57150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</xdr:row>
          <xdr:rowOff>85725</xdr:rowOff>
        </xdr:from>
        <xdr:to>
          <xdr:col>8</xdr:col>
          <xdr:colOff>1162050</xdr:colOff>
          <xdr:row>2</xdr:row>
          <xdr:rowOff>57150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771525</xdr:colOff>
          <xdr:row>1</xdr:row>
          <xdr:rowOff>85725</xdr:rowOff>
        </xdr:from>
        <xdr:to>
          <xdr:col>10</xdr:col>
          <xdr:colOff>733425</xdr:colOff>
          <xdr:row>2</xdr:row>
          <xdr:rowOff>57150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771525</xdr:colOff>
          <xdr:row>1</xdr:row>
          <xdr:rowOff>85725</xdr:rowOff>
        </xdr:from>
        <xdr:to>
          <xdr:col>10</xdr:col>
          <xdr:colOff>1600200</xdr:colOff>
          <xdr:row>2</xdr:row>
          <xdr:rowOff>57150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85725</xdr:rowOff>
        </xdr:from>
        <xdr:to>
          <xdr:col>10</xdr:col>
          <xdr:colOff>85725</xdr:colOff>
          <xdr:row>2</xdr:row>
          <xdr:rowOff>57150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85725</xdr:rowOff>
        </xdr:from>
        <xdr:to>
          <xdr:col>10</xdr:col>
          <xdr:colOff>76200</xdr:colOff>
          <xdr:row>2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1</xdr:row>
          <xdr:rowOff>104775</xdr:rowOff>
        </xdr:from>
        <xdr:to>
          <xdr:col>10</xdr:col>
          <xdr:colOff>685800</xdr:colOff>
          <xdr:row>2</xdr:row>
          <xdr:rowOff>76200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85725</xdr:rowOff>
        </xdr:from>
        <xdr:to>
          <xdr:col>14</xdr:col>
          <xdr:colOff>171450</xdr:colOff>
          <xdr:row>2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1</xdr:row>
          <xdr:rowOff>76200</xdr:rowOff>
        </xdr:from>
        <xdr:to>
          <xdr:col>12</xdr:col>
          <xdr:colOff>133350</xdr:colOff>
          <xdr:row>2</xdr:row>
          <xdr:rowOff>47625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</xdr:row>
          <xdr:rowOff>95250</xdr:rowOff>
        </xdr:from>
        <xdr:to>
          <xdr:col>11</xdr:col>
          <xdr:colOff>819150</xdr:colOff>
          <xdr:row>2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80"/>
                  </a:solidFill>
                  <a:latin typeface="Calibri"/>
                </a:rPr>
                <a:t>Refresh xls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dmin" refreshedDate="41869.740790277778" createdVersion="5" refreshedVersion="5" minRefreshableVersion="3" recordCount="3316">
  <cacheSource type="external" connectionId="2"/>
  <cacheFields count="47">
    <cacheField name="FactoryID" numFmtId="0">
      <sharedItems count="2">
        <s v="ZT"/>
        <s v="1"/>
      </sharedItems>
    </cacheField>
    <cacheField name="ProductLineID" numFmtId="0">
      <sharedItems count="4">
        <s v="ZT"/>
        <s v="PL"/>
        <s v="DL"/>
        <s v="Hase"/>
      </sharedItems>
    </cacheField>
    <cacheField name="ProductID" numFmtId="0">
      <sharedItems count="38">
        <s v="400"/>
        <s v="401"/>
        <s v="1"/>
        <s v="103"/>
        <s v="6"/>
        <s v="100"/>
        <s v="2"/>
        <s v="2_1"/>
        <s v="3"/>
        <s v="4"/>
        <s v="5"/>
        <s v="7"/>
        <s v="8"/>
        <s v="9"/>
        <s v="10"/>
        <s v="101" u="1"/>
        <s v="102" u="1"/>
        <s v="104" u="1"/>
        <s v="105" u="1"/>
        <s v="106" u="1"/>
        <s v="107" u="1"/>
        <s v="108" u="1"/>
        <s v="109" u="1"/>
        <s v="402" u="1"/>
        <s v="403" u="1"/>
        <s v="404" u="1"/>
        <s v="405" u="1"/>
        <s v="200" u="1"/>
        <s v="201" u="1"/>
        <s v="202" u="1"/>
        <s v="110" u="1"/>
        <s v="204" u="1"/>
        <s v="111" u="1"/>
        <s v="12" u="1"/>
        <s v="500" u="1"/>
        <s v="300" u="1"/>
        <s v="301" u="1"/>
        <s v="302" u="1"/>
      </sharedItems>
    </cacheField>
    <cacheField name="ValueSeriesID" numFmtId="0">
      <sharedItems count="18">
        <s v="K3"/>
        <s v="K7"/>
        <s v="K8"/>
        <s v="H2"/>
        <s v="H3"/>
        <s v="H4"/>
        <s v="U1"/>
        <s v="H5"/>
        <s v="K1"/>
        <s v="K2"/>
        <s v="H6"/>
        <s v="E1" u="1"/>
        <s v="K4" u="1"/>
        <s v="K6" u="1"/>
        <s v="H1" u="1"/>
        <s v="E2" u="1"/>
        <s v="K5" u="1"/>
        <s v="K9" u="1"/>
      </sharedItems>
    </cacheField>
    <cacheField name="Year" numFmtId="0">
      <sharedItems containsSemiMixedTypes="0" containsString="0" containsNumber="1" containsInteger="1" minValue="2014" maxValue="2044" count="31">
        <n v="2014"/>
        <n v="2015"/>
        <n v="2016"/>
        <n v="2017"/>
        <n v="2018"/>
        <n v="2029" u="1"/>
        <n v="2022" u="1"/>
        <n v="2041" u="1"/>
        <n v="2034" u="1"/>
        <n v="2027" u="1"/>
        <n v="2020" u="1"/>
        <n v="2039" u="1"/>
        <n v="2032" u="1"/>
        <n v="2025" u="1"/>
        <n v="2044" u="1"/>
        <n v="2037" u="1"/>
        <n v="2030" u="1"/>
        <n v="2023" u="1"/>
        <n v="2042" u="1"/>
        <n v="2035" u="1"/>
        <n v="2028" u="1"/>
        <n v="2021" u="1"/>
        <n v="2040" u="1"/>
        <n v="2033" u="1"/>
        <n v="2026" u="1"/>
        <n v="2019" u="1"/>
        <n v="2038" u="1"/>
        <n v="2031" u="1"/>
        <n v="2024" u="1"/>
        <n v="2043" u="1"/>
        <n v="2036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Wert" numFmtId="0">
      <sharedItems containsSemiMixedTypes="0" containsString="0" containsNumber="1" minValue="0.97" maxValue="100000"/>
    </cacheField>
    <cacheField name="ValueText" numFmtId="0">
      <sharedItems count="1">
        <s v=""/>
      </sharedItems>
    </cacheField>
    <cacheField name="FactoryName" numFmtId="0">
      <sharedItems count="3">
        <s v="Templates"/>
        <s v="Test"/>
        <s v="FORM und DRANG" u="1"/>
      </sharedItems>
    </cacheField>
    <cacheField name="FResponsiblePerson" numFmtId="0">
      <sharedItems count="1">
        <s v=""/>
      </sharedItems>
    </cacheField>
    <cacheField name="ProductLineName" numFmtId="0">
      <sharedItems count="9">
        <s v="Basistemplates (Unikum etc.)"/>
        <s v="Personal"/>
        <s v="Darlehen"/>
        <s v="Hase"/>
        <s v="Projekte" u="1"/>
        <s v="Templates" u="1"/>
        <s v="Betriebskosten" u="1"/>
        <s v="Maßnahmen" u="1"/>
        <s v="Finanzen" u="1"/>
      </sharedItems>
    </cacheField>
    <cacheField name="PLResponsiblePerson" numFmtId="0">
      <sharedItems count="2">
        <s v="Gerd Tautenhahn"/>
        <s v=""/>
      </sharedItems>
    </cacheField>
    <cacheField name="ProductName" numFmtId="0">
      <sharedItems count="70">
        <s v="Tagesgenaue Erlösplanung mit Zahlungsziel 2014-2015"/>
        <s v="Tagesgenaue Aufwandsplanung mit Zahlungsziel 2014-2015"/>
        <s v="Angestellter Mitarbeiter 2014-2018"/>
        <s v="Forderung mit Zahlungsziel 2014-2015"/>
        <s v="Unikum für 3 Tageswerte pro Monat 2014-2015"/>
        <s v="Planungsvorlage für Bankkonto 2014 - 2015 täglich"/>
        <s v="Hase 1"/>
        <s v="Hase 2"/>
        <s v="Neuer Hase"/>
        <s v="Hase 3"/>
        <s v="Hase 4"/>
        <s v="Hase 5"/>
        <s v="Hase 6"/>
        <s v="Hase 7"/>
        <s v="Hase 8"/>
        <s v="Hase 9"/>
        <s v="Hase 10"/>
        <s v="Tilgungsdarlehen Nr. YYY YYY YYY" u="1"/>
        <s v="Versicherung Betriebshaftpflicht" u="1"/>
        <s v="Produktdesign" u="1"/>
        <s v="Telefon Mobil 1" u="1"/>
        <s v="Mietvertrag" u="1"/>
        <s v="Konto Nr. xxxxxxxxxx" u="1"/>
        <s v="Universelle Planungsvorlage für vertikale Kalkulation 2014-2018" u="1"/>
        <s v="Stromvertrag" u="1"/>
        <s v="Steuerberatung" u="1"/>
        <s v="Reinigung" u="1"/>
        <s v="Beatrice Behnisch" u="1"/>
        <s v="&quot;Harrer AG&quot; - Icon Design Projekt" u="1"/>
        <s v="Konto Nr. zzzzzzzzzz Projektkonto" u="1"/>
        <s v="Ronny Sauer" u="1"/>
        <s v="Cloud-Lösung" u="1"/>
        <s v="Telefon Mobil 2" u="1"/>
        <s v="Unternehmenssoftware" u="1"/>
        <s v="Kathrin Eilert" u="1"/>
        <s v="&quot;LX GmbH&quot; - Icon Design Projekt" u="1"/>
        <s v="Hosting Server" u="1"/>
        <s v="BahnCard50 Stefanie Funke" u="1"/>
        <s v="Kfz L-xxx1" u="1"/>
        <s v="Personalvorlage" u="1"/>
        <s v="Webseite überarbeiten" u="1"/>
        <s v="&quot;David GmbH&quot; - Produktdesign" u="1"/>
        <s v="Kfz L-xxx2" u="1"/>
        <s v="Internet/ Telefon Büro" u="1"/>
        <s v="GEZ" u="1"/>
        <s v="Telefon Mobil 3" u="1"/>
        <s v="Kfz L-xxx3" u="1"/>
        <s v="&quot;Muster GmbH&quot; - User Interface Projekt" u="1"/>
        <s v="dafsf" u="1"/>
        <s v="Annuitätendarlehen Nr. XXX XXX XXX" u="1"/>
        <s v="&quot;ABC Consulting GmbH&quot; - Icon Design Projekt" u="1"/>
        <s v="Messeauftritt Leipzig" u="1"/>
        <s v="Konto Nr. yyyyyyyyyy Geschäftskonto" u="1"/>
        <s v="GoogleAdWords" u="1"/>
        <s v="BahnCard50 Daniel Funke" u="1"/>
        <s v="XING Abonnement" u="1"/>
        <s v="Stefanie Funke" u="1"/>
        <s v="PR Projekt mit Audi" u="1"/>
        <s v="GoogleApps" u="1"/>
        <s v="Reisekosten" u="1"/>
        <s v="Hasen" u="1"/>
        <s v="&quot;David GmbH&quot; - Visualisierung" u="1"/>
        <s v="&quot;Management Consulting GmbH&quot; - Visualisierung" u="1"/>
        <s v="Budget für spontane Ideen" u="1"/>
        <s v="Versicherung Gesetzl. Unfall" u="1"/>
        <s v="&quot;MAX AG&quot; - User Interface Projekt" u="1"/>
        <s v="Stefan Lubitz" u="1"/>
        <s v="Lohnbuchhaltung" u="1"/>
        <s v="Mailing IT Firmen" u="1"/>
        <s v="Daniel Funke" u="1"/>
      </sharedItems>
    </cacheField>
    <cacheField name="ResponsiblePerson" numFmtId="0">
      <sharedItems count="2">
        <s v="Gerd Tautenhahn"/>
        <s v=""/>
      </sharedItems>
    </cacheField>
    <cacheField name="Status" numFmtId="0">
      <sharedItems count="1">
        <s v="Aktiv"/>
      </sharedItems>
    </cacheField>
    <cacheField name="GlobalAttribute1" numFmtId="0">
      <sharedItems count="14">
        <s v="Cash"/>
        <s v="Personal"/>
        <s v="Unikum"/>
        <s v="1"/>
        <s v="2"/>
        <s v="3"/>
        <s v="4"/>
        <s v="5"/>
        <s v="6"/>
        <s v="7"/>
        <s v="8"/>
        <s v="9"/>
        <s v="10"/>
        <s v="11"/>
      </sharedItems>
    </cacheField>
    <cacheField name="GlobalAttribute2" numFmtId="0">
      <sharedItems count="2">
        <s v=""/>
        <s v="W2"/>
      </sharedItems>
    </cacheField>
    <cacheField name="GlobalAttribute3" numFmtId="0">
      <sharedItems count="1">
        <s v=""/>
      </sharedItems>
    </cacheField>
    <cacheField name="GlobalAttribute4" numFmtId="0">
      <sharedItems count="1">
        <s v=""/>
      </sharedItems>
    </cacheField>
    <cacheField name="GlobalAttribute5" numFmtId="0">
      <sharedItems count="1">
        <s v=""/>
      </sharedItems>
    </cacheField>
    <cacheField name="GlobalAttribute6" numFmtId="0">
      <sharedItems count="1">
        <s v=""/>
      </sharedItems>
    </cacheField>
    <cacheField name="GlobalAttribute7" numFmtId="0">
      <sharedItems count="1">
        <s v=""/>
      </sharedItems>
    </cacheField>
    <cacheField name="GlobalAttribute8" numFmtId="0">
      <sharedItems count="1">
        <s v=""/>
      </sharedItems>
    </cacheField>
    <cacheField name="GlobalAttribute9" numFmtId="0">
      <sharedItems count="1">
        <s v=""/>
      </sharedItems>
    </cacheField>
    <cacheField name="GlobalAttribute10" numFmtId="0">
      <sharedItems count="1">
        <s v=""/>
      </sharedItems>
    </cacheField>
    <cacheField name="GlobalAttribute11" numFmtId="0">
      <sharedItems count="2">
        <s v=""/>
        <s v="-"/>
      </sharedItems>
    </cacheField>
    <cacheField name="GlobalAttribute12" numFmtId="0">
      <sharedItems count="2">
        <s v=""/>
        <s v="-"/>
      </sharedItems>
    </cacheField>
    <cacheField name="GlobalAttribute13" numFmtId="0">
      <sharedItems count="2">
        <s v=""/>
        <s v="-"/>
      </sharedItems>
    </cacheField>
    <cacheField name="GlobalAttribute14" numFmtId="0">
      <sharedItems count="2">
        <s v=""/>
        <s v="-"/>
      </sharedItems>
    </cacheField>
    <cacheField name="GlobalAttribute15" numFmtId="0">
      <sharedItems count="2">
        <s v=""/>
        <s v="-"/>
      </sharedItems>
    </cacheField>
    <cacheField name="GlobalAttribute16" numFmtId="0">
      <sharedItems count="2">
        <s v=""/>
        <s v="-"/>
      </sharedItems>
    </cacheField>
    <cacheField name="GlobalAttribute17" numFmtId="0">
      <sharedItems count="2">
        <s v=""/>
        <s v="-"/>
      </sharedItems>
    </cacheField>
    <cacheField name="GlobalAttribute18" numFmtId="0">
      <sharedItems count="2">
        <s v=""/>
        <s v="-"/>
      </sharedItems>
    </cacheField>
    <cacheField name="GlobalAttribute19" numFmtId="0">
      <sharedItems count="2">
        <s v=""/>
        <s v="-"/>
      </sharedItems>
    </cacheField>
    <cacheField name="GlobalAttribute20" numFmtId="0">
      <sharedItems count="2">
        <s v=""/>
        <s v="-"/>
      </sharedItems>
    </cacheField>
    <cacheField name="GlobalAttribute21" numFmtId="0">
      <sharedItems count="2">
        <s v=""/>
        <s v="-"/>
      </sharedItems>
    </cacheField>
    <cacheField name="GlobalAttribute22" numFmtId="0">
      <sharedItems count="2">
        <s v=""/>
        <s v="-"/>
      </sharedItems>
    </cacheField>
    <cacheField name="GlobalAttribute23" numFmtId="0">
      <sharedItems count="2">
        <s v=""/>
        <s v="-"/>
      </sharedItems>
    </cacheField>
    <cacheField name="GlobalAttribute24" numFmtId="0">
      <sharedItems count="2">
        <s v=""/>
        <s v="-"/>
      </sharedItems>
    </cacheField>
    <cacheField name="GlobalAttribute25" numFmtId="0">
      <sharedItems count="3">
        <s v=""/>
        <s v="-"/>
        <s v="w25"/>
      </sharedItems>
    </cacheField>
    <cacheField name="ValueSeriesNo" numFmtId="0">
      <sharedItems containsSemiMixedTypes="0" containsString="0" containsNumber="1" containsInteger="1" minValue="1" maxValue="12" count="9">
        <n v="4"/>
        <n v="7"/>
        <n v="8"/>
        <n v="2"/>
        <n v="3"/>
        <n v="5"/>
        <n v="6"/>
        <n v="12"/>
        <n v="1"/>
      </sharedItems>
    </cacheField>
    <cacheField name="ValueSeriesName" numFmtId="0">
      <sharedItems count="80">
        <s v="Fälligkeit"/>
        <s v="BMG SV"/>
        <s v="% SV"/>
        <s v="Saldo offene Posten"/>
        <s v="Zahlungsziel"/>
        <s v="Tage"/>
        <s v="Zahlung kalk"/>
        <s v="Offener Betrag"/>
        <s v="Lohnsteuer"/>
        <s v="Lohnzahlung"/>
        <s v="Sozialabgaben"/>
        <s v="Zinssatz Soll Linie"/>
        <s v="ÜZ Provision"/>
        <s v="Zinszahlung"/>
        <s v="Kostenart 1"/>
        <s v="Zinssatz Soll ÜZ" u="1"/>
        <s v="Endsaldo" u="1"/>
        <s v="Eventbemerkung" u="1"/>
        <s v="Gebühren" u="1"/>
        <s v="Zinssatz" u="1"/>
        <s v="Grundgebühr" u="1"/>
        <s v="Verwaltung" u="1"/>
        <s v="Pauschale pro Tag" u="1"/>
        <s v="Rate" u="1"/>
        <s v="Versicherungsprämie" u="1"/>
        <s v="Kostenart 2" u="1"/>
        <s v="Rechnungsbetrag" u="1"/>
        <s v="Kaution" u="1"/>
        <s v="Wochenreinigung" u="1"/>
        <s v="Steuer" u="1"/>
        <s v="Kostenart 3" u="1"/>
        <s v="Reisekosten 1" u="1"/>
        <s v="Videokurse" u="1"/>
        <s v="Sondertilgung" u="1"/>
        <s v="Tankkosten" u="1"/>
        <s v="Zusätzliche Kosten" u="1"/>
        <s v="Jahresgebühr" u="1"/>
        <s v="Zinsertrag" u="1"/>
        <s v="Leasingrate" u="1"/>
        <s v="Literatur" u="1"/>
        <s v="Nutzungsgebühr" u="1"/>
        <s v="Haftpflichtvers." u="1"/>
        <s v="Gebühr Server" u="1"/>
        <s v="Abschlagszahlung" u="1"/>
        <s v="Grundgehalt" u="1"/>
        <s v="Instandhaltung" u="1"/>
        <s v="Gebühr" u="1"/>
        <s v="SV AG" u="1"/>
        <s v="Sonstige Kosten" u="1"/>
        <s v="BK Vorauszahlung" u="1"/>
        <s v="Basisgehalt" u="1"/>
        <s v="geplanter Umsatz" u="1"/>
        <s v="Teilzeit" u="1"/>
        <s v="Kaltmiete" u="1"/>
        <s v="Bereitstellung" u="1"/>
        <s v="Zinsaufwand" u="1"/>
        <s v="Steuern" u="1"/>
        <s v="Kontostand" u="1"/>
        <s v="Druck" u="1"/>
        <s v="Miete / m²" u="1"/>
        <s v="Buchführung" u="1"/>
        <s v="Kreditlinie" u="1"/>
        <s v="Url./Weihn.geld" u="1"/>
        <s v="Seminare" u="1"/>
        <s v="Vollkasko" u="1"/>
        <s v="Porto" u="1"/>
        <s v="Sonstige" u="1"/>
        <s v="Anfangssaldo" u="1"/>
        <s v="Anschaffungskosten" u="1"/>
        <s v="Tilgung" u="1"/>
        <s v="Ausgaben 1" u="1"/>
        <s v="Jahresabschluss" u="1"/>
        <s v="geplante Tage" u="1"/>
        <s v="geplante Tage " u="1"/>
        <s v="Fläche" u="1"/>
        <s v="Zusatzpaket" u="1"/>
        <s v="Tilgungsanteil" u="1"/>
        <s v="Zinssatz Haben" u="1"/>
        <s v="Pauschale" u="1"/>
        <s v="Eventgruppe" u="1"/>
      </sharedItems>
    </cacheField>
    <cacheField name="ValueSource" numFmtId="0">
      <sharedItems count="2">
        <s v="Formel Zahl"/>
        <s v="Eingabe Zahl"/>
      </sharedItems>
    </cacheField>
    <cacheField name="Unit" numFmtId="0">
      <sharedItems count="2">
        <s v="Text"/>
        <s v="EUR"/>
      </sharedItems>
    </cacheField>
    <cacheField name="Effect" numFmtId="0">
      <sharedItems count="13">
        <s v="Hilfswert UV"/>
        <s v="Hilfswert"/>
        <s v="Einzahlung"/>
        <s v="Aktivbestand"/>
        <s v="Auszahlung"/>
        <s v="Kosten=Auszahlg"/>
        <s v="Ertrag=Einzahlg" u="1"/>
        <s v="Menge" u="1"/>
        <s v="Ertrag" u="1"/>
        <s v="Passivbestand" u="1"/>
        <s v="Kosten" u="1"/>
        <s v="Text" u="1"/>
        <s v="Kosten = Auszahlg" u="1"/>
      </sharedItems>
    </cacheField>
    <cacheField name="EffectParameter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compact="0" compactData="0" gridDropZones="1" multipleFieldFilters="0" fieldListSortAscending="1">
  <location ref="C12:S25" firstHeaderRow="1" firstDataRow="2" firstDataCol="4" rowPageCount="4" colPageCount="1"/>
  <pivotFields count="47">
    <pivotField compact="0" outline="0" showAll="0"/>
    <pivotField compact="0" outline="0" showAll="0"/>
    <pivotField axis="axisRow" compact="0" outline="0" showAll="0" defaultSubtotal="0">
      <items count="38">
        <item sd="0" x="6"/>
        <item sd="0" x="10"/>
        <item sd="0" m="1" x="36"/>
        <item sd="0" m="1" x="28"/>
        <item sd="0" x="5"/>
        <item sd="0" x="1"/>
        <item sd="0" m="1" x="15"/>
        <item sd="0" m="1" x="27"/>
        <item sd="0" m="1" x="29"/>
        <item sd="0" m="1" x="35"/>
        <item sd="0" m="1" x="23"/>
        <item sd="0" x="3"/>
        <item sd="0" m="1" x="18"/>
        <item sd="0" m="1" x="19"/>
        <item sd="0" m="1" x="20"/>
        <item sd="0" m="1" x="21"/>
        <item sd="0" m="1" x="22"/>
        <item sd="0" m="1" x="30"/>
        <item sd="0" m="1" x="32"/>
        <item sd="0" m="1" x="26"/>
        <item sd="0" m="1" x="34"/>
        <item sd="0" m="1" x="37"/>
        <item sd="0" m="1" x="33"/>
        <item sd="0" x="2"/>
        <item sd="0" x="8"/>
        <item sd="0" x="4"/>
        <item sd="0" m="1" x="16"/>
        <item sd="0" x="9"/>
        <item sd="0" x="14"/>
        <item sd="0" x="0"/>
        <item sd="0" m="1" x="25"/>
        <item sd="0" m="1" x="24"/>
        <item sd="0" m="1" x="31"/>
        <item sd="0" m="1" x="17"/>
        <item x="7"/>
        <item x="11"/>
        <item x="12"/>
        <item x="13"/>
      </items>
    </pivotField>
    <pivotField axis="axisRow" compact="0" outline="0" showAll="0" defaultSubtotal="0">
      <items count="18">
        <item m="1" x="11"/>
        <item m="1" x="15"/>
        <item x="8"/>
        <item x="9"/>
        <item x="0"/>
        <item m="1" x="12"/>
        <item m="1" x="16"/>
        <item m="1" x="13"/>
        <item x="1"/>
        <item x="2"/>
        <item m="1" x="17"/>
        <item m="1" x="14"/>
        <item x="4"/>
        <item x="5"/>
        <item x="7"/>
        <item x="6"/>
        <item x="3"/>
        <item x="10"/>
      </items>
    </pivotField>
    <pivotField axis="axisPage" compact="0" outline="0" showAll="0">
      <items count="32">
        <item x="0"/>
        <item x="1"/>
        <item x="2"/>
        <item x="3"/>
        <item x="4"/>
        <item m="1" x="25"/>
        <item m="1" x="10"/>
        <item m="1" x="21"/>
        <item m="1" x="6"/>
        <item m="1" x="17"/>
        <item m="1" x="28"/>
        <item m="1" x="13"/>
        <item m="1" x="24"/>
        <item m="1" x="9"/>
        <item m="1" x="20"/>
        <item m="1" x="5"/>
        <item m="1" x="16"/>
        <item m="1" x="27"/>
        <item m="1" x="12"/>
        <item m="1" x="23"/>
        <item m="1" x="8"/>
        <item m="1" x="19"/>
        <item m="1" x="30"/>
        <item m="1" x="15"/>
        <item m="1" x="26"/>
        <item m="1" x="11"/>
        <item m="1" x="22"/>
        <item m="1" x="7"/>
        <item m="1" x="18"/>
        <item m="1" x="29"/>
        <item m="1" x="14"/>
        <item t="default"/>
      </items>
    </pivotField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dataField="1" compact="0" outline="0" showAll="0"/>
    <pivotField compact="0" outline="0" showAll="0"/>
    <pivotField axis="axisPage" compact="0" outline="0" showAll="0">
      <items count="4">
        <item x="0"/>
        <item m="1" x="2"/>
        <item x="1"/>
        <item t="default"/>
      </items>
    </pivotField>
    <pivotField compact="0" outline="0" showAll="0"/>
    <pivotField axis="axisPage" compact="0" outline="0" showAll="0">
      <items count="10">
        <item m="1" x="5"/>
        <item m="1" x="4"/>
        <item m="1" x="6"/>
        <item x="1"/>
        <item m="1" x="8"/>
        <item m="1" x="7"/>
        <item x="0"/>
        <item x="2"/>
        <item x="3"/>
        <item t="default"/>
      </items>
    </pivotField>
    <pivotField compact="0" outline="0" showAll="0"/>
    <pivotField axis="axisRow" compact="0" outline="0" showAll="0" defaultSubtotal="0">
      <items count="70">
        <item m="1" x="60"/>
        <item m="1" x="23"/>
        <item m="1" x="41"/>
        <item m="1" x="28"/>
        <item m="1" x="47"/>
        <item m="1" x="62"/>
        <item m="1" x="65"/>
        <item m="1" x="50"/>
        <item m="1" x="35"/>
        <item m="1" x="19"/>
        <item m="1" x="61"/>
        <item m="1" x="24"/>
        <item m="1" x="67"/>
        <item m="1" x="44"/>
        <item m="1" x="33"/>
        <item m="1" x="53"/>
        <item m="1" x="58"/>
        <item m="1" x="31"/>
        <item m="1" x="36"/>
        <item m="1" x="26"/>
        <item m="1" x="32"/>
        <item m="1" x="54"/>
        <item m="1" x="55"/>
        <item m="1" x="38"/>
        <item m="1" x="42"/>
        <item m="1" x="46"/>
        <item m="1" x="39"/>
        <item m="1" x="69"/>
        <item m="1" x="56"/>
        <item m="1" x="30"/>
        <item m="1" x="27"/>
        <item m="1" x="34"/>
        <item m="1" x="52"/>
        <item m="1" x="22"/>
        <item m="1" x="29"/>
        <item m="1" x="17"/>
        <item m="1" x="49"/>
        <item m="1" x="51"/>
        <item m="1" x="68"/>
        <item m="1" x="59"/>
        <item m="1" x="40"/>
        <item m="1" x="63"/>
        <item m="1" x="57"/>
        <item m="1" x="18"/>
        <item m="1" x="43"/>
        <item m="1" x="20"/>
        <item m="1" x="37"/>
        <item m="1" x="21"/>
        <item m="1" x="45"/>
        <item m="1" x="64"/>
        <item m="1" x="25"/>
        <item m="1" x="66"/>
        <item m="1" x="48"/>
        <item x="0"/>
        <item x="1"/>
        <item x="2"/>
        <item x="3"/>
        <item x="4"/>
        <item x="5"/>
        <item x="8"/>
        <item x="7"/>
        <item x="10"/>
        <item x="11"/>
        <item x="12"/>
        <item x="13"/>
        <item x="14"/>
        <item x="15"/>
        <item x="16"/>
        <item x="9"/>
        <item x="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1">
        <item m="1" x="17"/>
        <item m="1" x="79"/>
        <item x="14"/>
        <item m="1" x="25"/>
        <item m="1" x="30"/>
        <item m="1" x="22"/>
        <item m="1" x="73"/>
        <item m="1" x="51"/>
        <item m="1" x="78"/>
        <item m="1" x="72"/>
        <item m="1" x="43"/>
        <item m="1" x="48"/>
        <item m="1" x="26"/>
        <item m="1" x="46"/>
        <item m="1" x="40"/>
        <item m="1" x="42"/>
        <item m="1" x="75"/>
        <item m="1" x="28"/>
        <item m="1" x="20"/>
        <item m="1" x="35"/>
        <item m="1" x="36"/>
        <item m="1" x="68"/>
        <item m="1" x="34"/>
        <item m="1" x="41"/>
        <item m="1" x="64"/>
        <item m="1" x="56"/>
        <item m="1" x="21"/>
        <item m="1" x="45"/>
        <item m="1" x="38"/>
        <item x="1"/>
        <item x="2"/>
        <item m="1" x="50"/>
        <item m="1" x="52"/>
        <item m="1" x="44"/>
        <item m="1" x="62"/>
        <item m="1" x="47"/>
        <item m="1" x="57"/>
        <item x="11"/>
        <item m="1" x="15"/>
        <item m="1" x="77"/>
        <item m="1" x="37"/>
        <item m="1" x="18"/>
        <item m="1" x="61"/>
        <item m="1" x="55"/>
        <item m="1" x="67"/>
        <item m="1" x="19"/>
        <item m="1" x="69"/>
        <item m="1" x="33"/>
        <item m="1" x="16"/>
        <item m="1" x="23"/>
        <item m="1" x="76"/>
        <item m="1" x="70"/>
        <item m="1" x="39"/>
        <item m="1" x="63"/>
        <item m="1" x="32"/>
        <item m="1" x="66"/>
        <item m="1" x="31"/>
        <item m="1" x="65"/>
        <item m="1" x="58"/>
        <item m="1" x="24"/>
        <item m="1" x="29"/>
        <item m="1" x="54"/>
        <item m="1" x="53"/>
        <item m="1" x="49"/>
        <item m="1" x="27"/>
        <item m="1" x="74"/>
        <item m="1" x="59"/>
        <item m="1" x="60"/>
        <item m="1" x="71"/>
        <item x="0"/>
        <item x="3"/>
        <item x="4"/>
        <item x="5"/>
        <item x="6"/>
        <item x="7"/>
        <item x="8"/>
        <item x="9"/>
        <item x="10"/>
        <item x="12"/>
        <item x="13"/>
        <item t="default"/>
      </items>
    </pivotField>
    <pivotField compact="0" outline="0" showAll="0"/>
    <pivotField compact="0" outline="0" showAll="0"/>
    <pivotField axis="axisPage" compact="0" outline="0" showAll="0">
      <items count="14">
        <item m="1" x="12"/>
        <item m="1" x="11"/>
        <item x="1"/>
        <item m="1" x="7"/>
        <item m="1" x="8"/>
        <item m="1" x="10"/>
        <item m="1" x="6"/>
        <item m="1" x="9"/>
        <item x="3"/>
        <item x="0"/>
        <item x="2"/>
        <item x="4"/>
        <item x="5"/>
        <item t="default"/>
      </items>
    </pivotField>
    <pivotField compact="0" outline="0" showAll="0"/>
  </pivotFields>
  <rowFields count="4">
    <field x="2"/>
    <field x="13"/>
    <field x="3"/>
    <field x="42"/>
  </rowFields>
  <rowItems count="12">
    <i>
      <x/>
    </i>
    <i>
      <x v="1"/>
    </i>
    <i>
      <x v="23"/>
    </i>
    <i>
      <x v="24"/>
    </i>
    <i>
      <x v="25"/>
    </i>
    <i>
      <x v="27"/>
    </i>
    <i>
      <x v="28"/>
    </i>
    <i>
      <x v="34"/>
      <x v="59"/>
      <x v="2"/>
      <x v="2"/>
    </i>
    <i>
      <x v="35"/>
      <x v="64"/>
      <x v="2"/>
      <x v="2"/>
    </i>
    <i>
      <x v="36"/>
      <x v="65"/>
      <x v="2"/>
      <x v="2"/>
    </i>
    <i>
      <x v="37"/>
      <x v="66"/>
      <x v="2"/>
      <x v="2"/>
    </i>
    <i t="grand">
      <x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4">
    <pageField fld="9" item="2" hier="-1"/>
    <pageField fld="11" hier="-1"/>
    <pageField fld="45" hier="-1"/>
    <pageField fld="4" item="0" hier="-1"/>
  </pageFields>
  <dataFields count="1">
    <dataField name="Summe von Wert" fld="7" baseField="42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. Dev_Import sx_Gerd2_3" backgroundRefresh="0" growShrinkType="overwriteClear" adjustColumnWidth="0" connectionId="1" autoFormatId="16" applyNumberFormats="0" applyBorderFormats="0" applyFontFormats="0" applyPatternFormats="0" applyAlignmentFormats="0" applyWidthHeightFormats="0">
  <queryTableRefresh preserveSortFilterLayout="0" nextId="8" unboundColumnsRight="1">
    <queryTableFields count="2">
      <queryTableField id="6" name="Master" tableColumnId="6"/>
      <queryTableField id="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8" name="TMaster" displayName="TMaster" ref="G9:H10" tableType="queryTable" totalsRowShown="0" headerRowDxfId="28" dataDxfId="27" tableBorderDxfId="26">
  <autoFilter ref="G9:H10"/>
  <tableColumns count="2">
    <tableColumn id="6" uniqueName="6" name="Key" queryTableFieldId="6" dataDxfId="25"/>
    <tableColumn id="1" uniqueName="1" name="Feld1" queryTableFieldId="7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Tabelle111" displayName="Tabelle111" ref="D17:I26" totalsRowShown="0" headerRowDxfId="23">
  <autoFilter ref="D17:I26"/>
  <tableColumns count="6">
    <tableColumn id="1" name="Kosten pro Stunde"/>
    <tableColumn id="2" name="Bearbeitungstext" dataDxfId="22"/>
    <tableColumn id="5" name="Tag"/>
    <tableColumn id="4" name="AbreitsStelle" dataDxfId="21"/>
    <tableColumn id="3" name="Kosten am Tag">
      <calculatedColumnFormula>D18*23</calculatedColumnFormula>
    </tableColumn>
    <tableColumn id="6" name="Spalte1" dataDxfId="20">
      <calculatedColumnFormula>5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Uplink5" displayName="tblUplink5" ref="C15:K16" insertRow="1" totalsRowShown="0">
  <autoFilter ref="C15:K16"/>
  <tableColumns count="9">
    <tableColumn id="1" name="Spalte1"/>
    <tableColumn id="2" name="Spalte2"/>
    <tableColumn id="3" name="Spalte3"/>
    <tableColumn id="4" name="Spalte4"/>
    <tableColumn id="5" name="Spalte5"/>
    <tableColumn id="6" name="Spalte6"/>
    <tableColumn id="7" name="Spalte7"/>
    <tableColumn id="8" name="Spalte8"/>
    <tableColumn id="9" name="Spalte9"/>
  </tableColumns>
  <tableStyleInfo name="sxProductTable" showFirstColumn="0" showLastColumn="0" showRowStripes="1" showColumnStripes="0"/>
</table>
</file>

<file path=xl/tables/table4.xml><?xml version="1.0" encoding="utf-8"?>
<table xmlns="http://schemas.openxmlformats.org/spreadsheetml/2006/main" id="2" name="tblUplink3" displayName="tblUplink3" ref="C15:E16" insertRow="1" totalsRowShown="0">
  <autoFilter ref="C15:E16"/>
  <sortState ref="C16:I26">
    <sortCondition ref="D15:D26"/>
  </sortState>
  <tableColumns count="3">
    <tableColumn id="1" name="Spalte1"/>
    <tableColumn id="2" name="Spalte2"/>
    <tableColumn id="3" name="Spalte3"/>
  </tableColumns>
  <tableStyleInfo name="sxProductTable" showFirstColumn="0" showLastColumn="0" showRowStripes="1" showColumnStripes="0"/>
</table>
</file>

<file path=xl/tables/table5.xml><?xml version="1.0" encoding="utf-8"?>
<table xmlns="http://schemas.openxmlformats.org/spreadsheetml/2006/main" id="3" name="tblUplink4" displayName="tblUplink4" ref="C15:E16" insertRow="1" totalsRowShown="0">
  <autoFilter ref="C15:E16"/>
  <sortState ref="C16:I26">
    <sortCondition ref="D15:D26"/>
  </sortState>
  <tableColumns count="3">
    <tableColumn id="1" name="Spalte1"/>
    <tableColumn id="2" name="Spalte2"/>
    <tableColumn id="3" name="Spalte3"/>
  </tableColumns>
  <tableStyleInfo name="sxProductTable" showFirstColumn="0" showLastColumn="0" showRowStripes="1" showColumnStripes="0"/>
</table>
</file>

<file path=xl/tables/table6.xml><?xml version="1.0" encoding="utf-8"?>
<table xmlns="http://schemas.openxmlformats.org/spreadsheetml/2006/main" id="4" name="tblUplink45" displayName="tblUplink45" ref="C15:F16" insertRow="1" totalsRowShown="0">
  <autoFilter ref="C15:F16"/>
  <sortState ref="C16:I26">
    <sortCondition ref="D15:D26"/>
  </sortState>
  <tableColumns count="4">
    <tableColumn id="1" name="Spalte1"/>
    <tableColumn id="2" name="Spalte2"/>
    <tableColumn id="3" name="Spalte3"/>
    <tableColumn id="4" name="Spalte4"/>
  </tableColumns>
  <tableStyleInfo name="sxProductTable" showFirstColumn="0" showLastColumn="0" showRowStripes="1" showColumnStripes="0"/>
</table>
</file>

<file path=xl/tables/table7.xml><?xml version="1.0" encoding="utf-8"?>
<table xmlns="http://schemas.openxmlformats.org/spreadsheetml/2006/main" id="5" name="i18n" displayName="i18n" ref="C8:L108" totalsRowShown="0" headerRowDxfId="19">
  <autoFilter ref="C8:L108"/>
  <sortState ref="C9:L62">
    <sortCondition ref="C8:C62"/>
  </sortState>
  <tableColumns count="10">
    <tableColumn id="1" name="Key" dataDxfId="18">
      <calculatedColumnFormula>i18n[Sheet]&amp;"_"&amp;i18n[Typ]&amp;"_"&amp;i18n[ID]</calculatedColumnFormula>
    </tableColumn>
    <tableColumn id="2" name="Sheet"/>
    <tableColumn id="3" name="Typ"/>
    <tableColumn id="4" name="ID"/>
    <tableColumn id="5" name="DE"/>
    <tableColumn id="6" name="ENG"/>
    <tableColumn id="7" name="RU"/>
    <tableColumn id="8" name="PL"/>
    <tableColumn id="9" name="NL"/>
    <tableColumn id="10" name="CZ"/>
  </tableColumns>
  <tableStyleInfo name="sxProduc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enutzerdefiniert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2060"/>
      </a:hlink>
      <a:folHlink>
        <a:srgbClr val="00206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Start2"/>
  <dimension ref="A1:S48"/>
  <sheetViews>
    <sheetView workbookViewId="0"/>
  </sheetViews>
  <sheetFormatPr baseColWidth="10" defaultRowHeight="15" x14ac:dyDescent="0.25"/>
  <cols>
    <col min="1" max="1" width="3.28515625" style="13" customWidth="1"/>
    <col min="2" max="2" width="2.28515625" style="54" customWidth="1"/>
    <col min="3" max="3" width="5" style="15" customWidth="1"/>
    <col min="4" max="4" width="29.42578125" style="54" customWidth="1"/>
    <col min="5" max="5" width="5.28515625" style="54" customWidth="1"/>
    <col min="6" max="6" width="30" style="54" customWidth="1"/>
    <col min="7" max="7" width="15.42578125" style="54" customWidth="1"/>
    <col min="8" max="8" width="12.5703125" style="54" customWidth="1"/>
    <col min="9" max="9" width="25.5703125" style="54" customWidth="1"/>
    <col min="10" max="10" width="20.85546875" style="77" customWidth="1"/>
    <col min="11" max="14" width="9" style="77" customWidth="1"/>
    <col min="15" max="15" width="9" style="54" customWidth="1"/>
    <col min="16" max="16" width="11.42578125" style="54" customWidth="1"/>
    <col min="17" max="17" width="11.42578125" style="54"/>
    <col min="18" max="18" width="39.28515625" style="54" customWidth="1"/>
    <col min="19" max="16384" width="11.42578125" style="54"/>
  </cols>
  <sheetData>
    <row r="1" spans="1:19" s="13" customFormat="1" x14ac:dyDescent="0.25">
      <c r="A1" s="13" t="s">
        <v>39</v>
      </c>
      <c r="J1" s="37" t="s">
        <v>730</v>
      </c>
      <c r="K1" s="72"/>
      <c r="L1" s="72"/>
      <c r="M1" s="72"/>
      <c r="N1" s="72"/>
    </row>
    <row r="2" spans="1:19" s="16" customFormat="1" ht="23.1" customHeight="1" x14ac:dyDescent="0.35">
      <c r="A2" s="18"/>
      <c r="C2" s="16" t="s">
        <v>471</v>
      </c>
      <c r="J2" s="73"/>
      <c r="K2" s="73"/>
      <c r="L2" s="73"/>
      <c r="M2" s="73"/>
      <c r="N2" s="73"/>
    </row>
    <row r="3" spans="1:19" s="20" customFormat="1" ht="23.1" customHeight="1" x14ac:dyDescent="0.25">
      <c r="A3" s="21"/>
      <c r="C3" s="20" t="s">
        <v>483</v>
      </c>
      <c r="J3" s="74"/>
      <c r="K3" s="74"/>
      <c r="L3" s="74"/>
      <c r="M3" s="74"/>
      <c r="N3" s="74"/>
    </row>
    <row r="4" spans="1:19" s="20" customFormat="1" ht="23.1" customHeight="1" x14ac:dyDescent="0.25">
      <c r="A4" s="21"/>
      <c r="C4" s="47"/>
      <c r="J4" s="24" t="s">
        <v>37</v>
      </c>
      <c r="K4" s="74"/>
      <c r="L4" s="74"/>
      <c r="M4" s="74"/>
      <c r="N4" s="74"/>
      <c r="P4" s="33"/>
    </row>
    <row r="5" spans="1:19" s="92" customFormat="1" ht="23.1" customHeight="1" x14ac:dyDescent="0.25">
      <c r="A5" s="19"/>
      <c r="I5" s="37"/>
      <c r="J5" s="91" t="str">
        <f>gModus</f>
        <v>Anwender</v>
      </c>
      <c r="K5" s="75"/>
      <c r="L5" s="75"/>
      <c r="M5" s="75"/>
      <c r="N5" s="75"/>
      <c r="P5" s="32"/>
      <c r="S5" s="37"/>
    </row>
    <row r="6" spans="1:19" s="11" customFormat="1" ht="15.75" x14ac:dyDescent="0.25">
      <c r="A6" s="14"/>
      <c r="E6" s="39"/>
      <c r="H6" s="39"/>
      <c r="J6" s="76"/>
      <c r="K6" s="76"/>
      <c r="L6" s="76"/>
      <c r="M6" s="76"/>
      <c r="N6" s="76"/>
    </row>
    <row r="8" spans="1:19" x14ac:dyDescent="0.25">
      <c r="D8" s="10" t="s">
        <v>467</v>
      </c>
    </row>
    <row r="9" spans="1:19" x14ac:dyDescent="0.25">
      <c r="D9" s="54" t="s">
        <v>543</v>
      </c>
    </row>
    <row r="11" spans="1:19" x14ac:dyDescent="0.25">
      <c r="D11" s="10" t="s">
        <v>468</v>
      </c>
    </row>
    <row r="12" spans="1:19" x14ac:dyDescent="0.25">
      <c r="D12" s="54" t="s">
        <v>482</v>
      </c>
    </row>
    <row r="15" spans="1:19" x14ac:dyDescent="0.25">
      <c r="D15" s="138" t="s">
        <v>644</v>
      </c>
      <c r="F15" s="104" t="s">
        <v>469</v>
      </c>
    </row>
    <row r="16" spans="1:19" x14ac:dyDescent="0.25">
      <c r="D16" s="139"/>
      <c r="F16" s="104" t="s">
        <v>479</v>
      </c>
    </row>
    <row r="17" spans="4:10" x14ac:dyDescent="0.25">
      <c r="D17" s="139"/>
      <c r="F17" s="104" t="s">
        <v>480</v>
      </c>
    </row>
    <row r="18" spans="4:10" x14ac:dyDescent="0.25">
      <c r="D18" s="139"/>
      <c r="F18" s="105"/>
    </row>
    <row r="19" spans="4:10" x14ac:dyDescent="0.25">
      <c r="D19" s="138" t="s">
        <v>645</v>
      </c>
      <c r="F19" s="104" t="s">
        <v>470</v>
      </c>
    </row>
    <row r="20" spans="4:10" x14ac:dyDescent="0.25">
      <c r="D20" s="139"/>
      <c r="F20" s="104" t="s">
        <v>481</v>
      </c>
    </row>
    <row r="21" spans="4:10" x14ac:dyDescent="0.25">
      <c r="D21" s="139"/>
      <c r="J21" s="140"/>
    </row>
    <row r="22" spans="4:10" x14ac:dyDescent="0.25">
      <c r="D22" s="138" t="s">
        <v>647</v>
      </c>
      <c r="F22" s="104" t="s">
        <v>648</v>
      </c>
      <c r="J22" s="15"/>
    </row>
    <row r="23" spans="4:10" x14ac:dyDescent="0.25">
      <c r="D23" s="139"/>
      <c r="F23" s="104" t="s">
        <v>496</v>
      </c>
      <c r="J23" s="15"/>
    </row>
    <row r="24" spans="4:10" x14ac:dyDescent="0.25">
      <c r="D24" s="139"/>
      <c r="J24" s="15"/>
    </row>
    <row r="25" spans="4:10" x14ac:dyDescent="0.25">
      <c r="D25" s="138" t="s">
        <v>646</v>
      </c>
      <c r="F25" s="104" t="s">
        <v>542</v>
      </c>
      <c r="J25" s="15"/>
    </row>
    <row r="26" spans="4:10" x14ac:dyDescent="0.25">
      <c r="J26" s="15"/>
    </row>
    <row r="27" spans="4:10" x14ac:dyDescent="0.25">
      <c r="D27" s="25" t="s">
        <v>729</v>
      </c>
      <c r="J27" s="15"/>
    </row>
    <row r="28" spans="4:10" x14ac:dyDescent="0.25">
      <c r="J28" s="15"/>
    </row>
    <row r="29" spans="4:10" x14ac:dyDescent="0.25">
      <c r="D29" s="10" t="s">
        <v>547</v>
      </c>
      <c r="J29" s="15"/>
    </row>
    <row r="30" spans="4:10" x14ac:dyDescent="0.25">
      <c r="D30" s="54" t="s">
        <v>548</v>
      </c>
      <c r="J30" s="15"/>
    </row>
    <row r="31" spans="4:10" x14ac:dyDescent="0.25">
      <c r="D31" s="118" t="s">
        <v>549</v>
      </c>
      <c r="J31" s="15"/>
    </row>
    <row r="32" spans="4:10" x14ac:dyDescent="0.25">
      <c r="D32" s="118" t="s">
        <v>550</v>
      </c>
      <c r="J32" s="15"/>
    </row>
    <row r="33" spans="4:10" x14ac:dyDescent="0.25">
      <c r="D33" s="118" t="s">
        <v>551</v>
      </c>
      <c r="J33" s="15"/>
    </row>
    <row r="34" spans="4:10" x14ac:dyDescent="0.25">
      <c r="D34" s="15" t="s">
        <v>554</v>
      </c>
      <c r="J34" s="15"/>
    </row>
    <row r="35" spans="4:10" x14ac:dyDescent="0.25">
      <c r="D35" s="118" t="s">
        <v>555</v>
      </c>
      <c r="J35" s="15"/>
    </row>
    <row r="36" spans="4:10" x14ac:dyDescent="0.25">
      <c r="D36" s="118" t="s">
        <v>556</v>
      </c>
      <c r="J36" s="15"/>
    </row>
    <row r="37" spans="4:10" x14ac:dyDescent="0.25">
      <c r="D37" s="15" t="s">
        <v>558</v>
      </c>
      <c r="J37" s="15"/>
    </row>
    <row r="38" spans="4:10" x14ac:dyDescent="0.25">
      <c r="D38" s="118" t="s">
        <v>559</v>
      </c>
      <c r="J38" s="15"/>
    </row>
    <row r="42" spans="4:10" x14ac:dyDescent="0.25">
      <c r="D42" s="10" t="s">
        <v>552</v>
      </c>
    </row>
    <row r="43" spans="4:10" x14ac:dyDescent="0.25">
      <c r="D43" s="54" t="s">
        <v>553</v>
      </c>
    </row>
    <row r="46" spans="4:10" x14ac:dyDescent="0.25">
      <c r="D46" s="10" t="s">
        <v>484</v>
      </c>
    </row>
    <row r="47" spans="4:10" x14ac:dyDescent="0.25">
      <c r="D47" s="54" t="s">
        <v>473</v>
      </c>
    </row>
    <row r="48" spans="4:10" x14ac:dyDescent="0.25">
      <c r="D48" s="54" t="s">
        <v>474</v>
      </c>
    </row>
  </sheetData>
  <dataConsolidate link="1"/>
  <dataValidations count="1">
    <dataValidation type="list" allowBlank="1" showInputMessage="1" sqref="J1">
      <formula1>"DevFlag"</formula1>
    </dataValidation>
  </dataValidations>
  <hyperlinks>
    <hyperlink ref="J5" location="Start!A1" display="Start!A1"/>
    <hyperlink ref="D27" location="Admin!A1" display="XLSFramework Vorlage kopiere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47625</xdr:colOff>
                    <xdr:row>1</xdr:row>
                    <xdr:rowOff>142875</xdr:rowOff>
                  </from>
                  <to>
                    <xdr:col>9</xdr:col>
                    <xdr:colOff>876300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Start1"/>
  <dimension ref="A1:S15"/>
  <sheetViews>
    <sheetView showGridLines="0" showRowColHeaders="0" tabSelected="1" topLeftCell="B2" workbookViewId="0"/>
  </sheetViews>
  <sheetFormatPr baseColWidth="10" defaultRowHeight="15" x14ac:dyDescent="0.25"/>
  <cols>
    <col min="1" max="1" width="3.28515625" style="13" hidden="1" customWidth="1"/>
    <col min="2" max="2" width="2.28515625" style="54" customWidth="1"/>
    <col min="3" max="3" width="5" style="15" customWidth="1"/>
    <col min="4" max="4" width="26.140625" style="54" customWidth="1"/>
    <col min="5" max="5" width="18" style="54" customWidth="1"/>
    <col min="6" max="6" width="30" style="54" customWidth="1"/>
    <col min="7" max="7" width="15.42578125" style="54" customWidth="1"/>
    <col min="8" max="8" width="12.5703125" style="54" customWidth="1"/>
    <col min="9" max="9" width="25.5703125" style="54" customWidth="1"/>
    <col min="10" max="10" width="20.85546875" style="77" customWidth="1"/>
    <col min="11" max="14" width="9" style="77" customWidth="1"/>
    <col min="15" max="15" width="9" style="54" customWidth="1"/>
    <col min="16" max="16" width="11.42578125" style="54" customWidth="1"/>
    <col min="17" max="17" width="11.42578125" style="54"/>
    <col min="18" max="18" width="39.28515625" style="54" customWidth="1"/>
    <col min="19" max="16384" width="11.42578125" style="54"/>
  </cols>
  <sheetData>
    <row r="1" spans="1:19" s="13" customFormat="1" hidden="1" x14ac:dyDescent="0.25">
      <c r="A1" s="13" t="s">
        <v>38</v>
      </c>
      <c r="J1" s="72"/>
      <c r="K1" s="72"/>
      <c r="L1" s="72"/>
      <c r="M1" s="72"/>
      <c r="N1" s="72"/>
    </row>
    <row r="2" spans="1:19" s="16" customFormat="1" ht="23.1" customHeight="1" x14ac:dyDescent="0.35">
      <c r="A2" s="18"/>
      <c r="C2" s="16" t="s">
        <v>471</v>
      </c>
      <c r="J2" s="73"/>
      <c r="K2" s="73"/>
      <c r="L2" s="73"/>
      <c r="M2" s="73"/>
      <c r="N2" s="73"/>
    </row>
    <row r="3" spans="1:19" s="20" customFormat="1" ht="23.1" customHeight="1" x14ac:dyDescent="0.25">
      <c r="A3" s="21"/>
      <c r="C3" s="20" t="s">
        <v>557</v>
      </c>
      <c r="J3" s="74"/>
      <c r="K3" s="74"/>
      <c r="L3" s="74"/>
      <c r="M3" s="74"/>
      <c r="N3" s="74"/>
    </row>
    <row r="4" spans="1:19" s="20" customFormat="1" ht="23.1" customHeight="1" x14ac:dyDescent="0.25">
      <c r="A4" s="21"/>
      <c r="C4" s="47"/>
      <c r="J4" s="24" t="s">
        <v>37</v>
      </c>
      <c r="K4" s="74"/>
      <c r="L4" s="74"/>
      <c r="M4" s="74"/>
      <c r="N4" s="74"/>
      <c r="P4" s="33"/>
    </row>
    <row r="5" spans="1:19" s="88" customFormat="1" ht="23.1" customHeight="1" x14ac:dyDescent="0.25">
      <c r="A5" s="19"/>
      <c r="C5" s="92"/>
      <c r="D5" s="92"/>
      <c r="E5" s="92"/>
      <c r="F5" s="92"/>
      <c r="G5" s="92"/>
      <c r="H5" s="92"/>
      <c r="I5" s="37" t="str">
        <f>gFWVersion &amp;"." &amp;  gFWXLSVersion</f>
        <v>3.0.5.22</v>
      </c>
      <c r="J5" s="89" t="str">
        <f>gModus</f>
        <v>Anwender</v>
      </c>
      <c r="L5" s="75"/>
      <c r="M5" s="75"/>
      <c r="N5" s="75"/>
      <c r="P5" s="32"/>
      <c r="S5" s="37"/>
    </row>
    <row r="6" spans="1:19" s="11" customFormat="1" ht="15.75" x14ac:dyDescent="0.25">
      <c r="A6" s="14"/>
      <c r="E6" s="39"/>
      <c r="H6" s="39"/>
      <c r="J6" s="76"/>
      <c r="K6" s="76"/>
      <c r="L6" s="76"/>
      <c r="M6" s="76"/>
      <c r="N6" s="76"/>
    </row>
    <row r="7" spans="1:19" hidden="1" x14ac:dyDescent="0.25">
      <c r="A7" s="13" t="s">
        <v>39</v>
      </c>
      <c r="C7" s="25"/>
      <c r="D7" s="48" t="str">
        <f>VLOOKUP("FT_L_ChangeDB",i18n[#Data],i18nIndex,FALSE)</f>
        <v>Ändern</v>
      </c>
      <c r="E7" s="71" t="str">
        <f>gbdtDB_Database &amp; " auf Server " &amp; gbdtDB_Server</f>
        <v>PlanningFactory4k auf Server .</v>
      </c>
      <c r="G7" s="94" t="s">
        <v>107</v>
      </c>
    </row>
    <row r="8" spans="1:19" x14ac:dyDescent="0.25">
      <c r="B8" s="6"/>
      <c r="C8" s="6"/>
      <c r="D8" s="48"/>
      <c r="E8" s="157" t="s">
        <v>83</v>
      </c>
      <c r="F8" s="157"/>
      <c r="G8" s="157"/>
      <c r="H8" s="157"/>
      <c r="I8" s="157"/>
      <c r="J8" s="157"/>
    </row>
    <row r="11" spans="1:19" x14ac:dyDescent="0.25">
      <c r="D11" s="10" t="s">
        <v>485</v>
      </c>
    </row>
    <row r="12" spans="1:19" x14ac:dyDescent="0.25">
      <c r="D12" s="54" t="s">
        <v>486</v>
      </c>
    </row>
    <row r="15" spans="1:19" x14ac:dyDescent="0.25">
      <c r="D15" s="54" t="s">
        <v>487</v>
      </c>
    </row>
  </sheetData>
  <dataConsolidate link="1"/>
  <mergeCells count="1">
    <mergeCell ref="E8:J8"/>
  </mergeCells>
  <dataValidations count="1">
    <dataValidation type="list" allowBlank="1" showInputMessage="1" showErrorMessage="1" sqref="G7">
      <formula1>Languages</formula1>
    </dataValidation>
  </dataValidations>
  <hyperlinks>
    <hyperlink ref="J5" location="Start!A1" display="Start!A1"/>
    <hyperlink ref="D7" location="Start!A1" display="Start!A1"/>
    <hyperlink ref="E7" location="Start!A1" display="Edit Value Series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cel_Standardinteraktion_aktivieren">
                <anchor moveWithCells="1" sizeWithCells="1">
                  <from>
                    <xdr:col>8</xdr:col>
                    <xdr:colOff>1647825</xdr:colOff>
                    <xdr:row>1</xdr:row>
                    <xdr:rowOff>85725</xdr:rowOff>
                  </from>
                  <to>
                    <xdr:col>9</xdr:col>
                    <xdr:colOff>771525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4">
    <tabColor theme="9" tint="0.39997558519241921"/>
  </sheetPr>
  <dimension ref="A1:V15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25.42578125" style="54" customWidth="1"/>
    <col min="4" max="4" width="17.85546875" style="54" customWidth="1"/>
    <col min="5" max="6" width="9.5703125" style="54" customWidth="1"/>
    <col min="7" max="7" width="10.5703125" style="54" customWidth="1"/>
    <col min="8" max="8" width="10.28515625" style="54" customWidth="1"/>
    <col min="9" max="9" width="10.5703125" style="54" customWidth="1"/>
    <col min="10" max="10" width="13" style="54" customWidth="1"/>
    <col min="11" max="11" width="10.85546875" style="54" customWidth="1"/>
    <col min="12" max="12" width="12.7109375" style="54" customWidth="1"/>
    <col min="13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22" s="13" customFormat="1" x14ac:dyDescent="0.25">
      <c r="A1" s="13" t="s">
        <v>40</v>
      </c>
      <c r="B1" s="13" t="s">
        <v>472</v>
      </c>
    </row>
    <row r="2" spans="1:22" s="16" customFormat="1" ht="23.1" customHeight="1" x14ac:dyDescent="0.35">
      <c r="A2" s="18"/>
      <c r="C2" s="16" t="s">
        <v>466</v>
      </c>
      <c r="O2" s="85"/>
    </row>
    <row r="3" spans="1:22" s="20" customFormat="1" ht="23.1" customHeight="1" x14ac:dyDescent="0.25">
      <c r="A3" s="21"/>
      <c r="O3" s="85"/>
    </row>
    <row r="4" spans="1:22" s="20" customFormat="1" ht="23.1" customHeight="1" x14ac:dyDescent="0.25">
      <c r="A4" s="21"/>
      <c r="M4" s="24" t="s">
        <v>37</v>
      </c>
      <c r="O4" s="85"/>
    </row>
    <row r="5" spans="1:22" s="80" customFormat="1" ht="23.1" customHeight="1" x14ac:dyDescent="0.25">
      <c r="A5" s="19"/>
      <c r="C5" s="91" t="s">
        <v>45</v>
      </c>
      <c r="D5" s="83" t="s">
        <v>233</v>
      </c>
      <c r="E5" s="83"/>
      <c r="F5" s="83" t="s">
        <v>447</v>
      </c>
      <c r="G5" s="83"/>
      <c r="M5" s="81" t="str">
        <f>gModus</f>
        <v>Anwender</v>
      </c>
    </row>
    <row r="6" spans="1:22" s="49" customFormat="1" ht="15.75" x14ac:dyDescent="0.25">
      <c r="A6" s="13" t="s">
        <v>39</v>
      </c>
      <c r="J6" s="86" t="s">
        <v>451</v>
      </c>
      <c r="Q6" s="86" t="s">
        <v>492</v>
      </c>
      <c r="R6" s="54"/>
      <c r="S6" s="54"/>
      <c r="T6" s="54"/>
      <c r="U6" s="54"/>
      <c r="V6" s="54"/>
    </row>
    <row r="7" spans="1:22" s="23" customFormat="1" x14ac:dyDescent="0.25">
      <c r="A7" s="13" t="s">
        <v>39</v>
      </c>
      <c r="C7" s="86" t="s">
        <v>454</v>
      </c>
      <c r="D7" s="87"/>
      <c r="E7" s="6"/>
      <c r="F7" s="103"/>
      <c r="G7" s="102"/>
      <c r="H7" s="102"/>
      <c r="J7" s="86" t="s">
        <v>476</v>
      </c>
      <c r="Q7" s="86" t="s">
        <v>491</v>
      </c>
      <c r="R7" s="54"/>
      <c r="S7" s="54"/>
      <c r="T7" s="54"/>
      <c r="U7" s="54"/>
      <c r="V7" s="54"/>
    </row>
    <row r="8" spans="1:22" s="23" customFormat="1" x14ac:dyDescent="0.25">
      <c r="A8" s="13" t="s">
        <v>39</v>
      </c>
      <c r="C8" s="86" t="s">
        <v>453</v>
      </c>
      <c r="D8" s="87"/>
      <c r="E8" s="6"/>
      <c r="G8" s="82" t="s">
        <v>489</v>
      </c>
      <c r="H8" s="82" t="s">
        <v>490</v>
      </c>
      <c r="J8" s="86" t="s">
        <v>465</v>
      </c>
      <c r="Q8" s="86" t="s">
        <v>494</v>
      </c>
      <c r="R8" s="54"/>
      <c r="S8" s="54"/>
      <c r="T8" s="54"/>
      <c r="U8" s="54"/>
      <c r="V8" s="54"/>
    </row>
    <row r="9" spans="1:22" s="23" customFormat="1" x14ac:dyDescent="0.25">
      <c r="A9" s="13" t="s">
        <v>39</v>
      </c>
      <c r="C9" s="86" t="s">
        <v>446</v>
      </c>
      <c r="D9" s="8" t="s">
        <v>462</v>
      </c>
      <c r="E9" s="6"/>
      <c r="G9" s="84" t="s">
        <v>104</v>
      </c>
      <c r="H9" s="23" t="s">
        <v>488</v>
      </c>
      <c r="J9" s="86" t="s">
        <v>477</v>
      </c>
      <c r="Q9" s="86" t="s">
        <v>478</v>
      </c>
      <c r="R9" s="54"/>
      <c r="S9" s="54"/>
      <c r="T9" s="54"/>
      <c r="U9" s="54"/>
      <c r="V9" s="54"/>
    </row>
    <row r="10" spans="1:22" x14ac:dyDescent="0.25">
      <c r="A10" s="13" t="s">
        <v>39</v>
      </c>
      <c r="G10" s="84">
        <v>1</v>
      </c>
      <c r="H10" s="23"/>
      <c r="J10" s="86" t="s">
        <v>493</v>
      </c>
      <c r="Q10" s="86"/>
    </row>
    <row r="15" spans="1:22" x14ac:dyDescent="0.25">
      <c r="O15" s="86"/>
    </row>
  </sheetData>
  <dataConsolidate link="1"/>
  <dataValidations count="2">
    <dataValidation type="list" allowBlank="1" showInputMessage="1" showErrorMessage="1" sqref="D9:E9">
      <formula1>"JA,NEIN"</formula1>
    </dataValidation>
    <dataValidation type="list" allowBlank="1" showInputMessage="1" showErrorMessage="1" sqref="G8:H8">
      <formula1>"&lt;key&gt;,&lt;keine&gt;,varchar,integer,bigint,money,dateTT.MM.YYYY"</formula1>
    </dataValidation>
  </dataValidations>
  <hyperlinks>
    <hyperlink ref="M5" location="Blattvorlage!A1" display="Blattvorlage!A1"/>
    <hyperlink ref="D5" location="xls2sql_Master!A1" display="Speichern"/>
    <hyperlink ref="F5" location="Tabellen_Vorlage!A1" display="Laden"/>
    <hyperlink ref="C5" location="xls2sql_Master!A1" display="Start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Excel_Standardinteraktion_aktivieren">
                <anchor moveWithCells="1" sizeWithCells="1">
                  <from>
                    <xdr:col>11</xdr:col>
                    <xdr:colOff>85725</xdr:colOff>
                    <xdr:row>1</xdr:row>
                    <xdr:rowOff>85725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5">
    <tabColor theme="5" tint="0.39997558519241921"/>
  </sheetPr>
  <dimension ref="A1:O10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25.42578125" style="54" customWidth="1"/>
    <col min="4" max="4" width="34.5703125" style="54" customWidth="1"/>
    <col min="5" max="6" width="9.5703125" style="54" customWidth="1"/>
    <col min="7" max="7" width="10.5703125" style="54" customWidth="1"/>
    <col min="8" max="8" width="10.28515625" style="54" customWidth="1"/>
    <col min="9" max="9" width="10.5703125" style="54" customWidth="1"/>
    <col min="10" max="10" width="13" style="54" customWidth="1"/>
    <col min="11" max="11" width="10.85546875" style="54" customWidth="1"/>
    <col min="12" max="12" width="12.7109375" style="54" customWidth="1"/>
    <col min="13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15" s="13" customFormat="1" x14ac:dyDescent="0.25">
      <c r="A1" s="13" t="s">
        <v>40</v>
      </c>
      <c r="B1" s="13" t="s">
        <v>495</v>
      </c>
    </row>
    <row r="2" spans="1:15" s="16" customFormat="1" ht="23.1" customHeight="1" x14ac:dyDescent="0.35">
      <c r="A2" s="18"/>
      <c r="C2" s="16" t="s">
        <v>464</v>
      </c>
      <c r="O2" s="85"/>
    </row>
    <row r="3" spans="1:15" s="20" customFormat="1" ht="23.1" customHeight="1" x14ac:dyDescent="0.25">
      <c r="A3" s="21"/>
      <c r="O3" s="85"/>
    </row>
    <row r="4" spans="1:15" s="20" customFormat="1" ht="23.1" customHeight="1" x14ac:dyDescent="0.25">
      <c r="A4" s="21"/>
      <c r="M4" s="24" t="s">
        <v>37</v>
      </c>
      <c r="O4" s="85"/>
    </row>
    <row r="5" spans="1:15" s="90" customFormat="1" ht="23.1" customHeight="1" x14ac:dyDescent="0.25">
      <c r="A5" s="19"/>
      <c r="C5" s="91" t="s">
        <v>45</v>
      </c>
      <c r="D5" s="83" t="s">
        <v>233</v>
      </c>
      <c r="E5" s="83"/>
      <c r="F5" s="83"/>
      <c r="G5" s="83"/>
      <c r="M5" s="91" t="str">
        <f>gModus</f>
        <v>Anwender</v>
      </c>
    </row>
    <row r="6" spans="1:15" s="49" customFormat="1" ht="15.75" x14ac:dyDescent="0.25">
      <c r="A6" s="14"/>
    </row>
    <row r="7" spans="1:15" s="23" customFormat="1" x14ac:dyDescent="0.25">
      <c r="A7" s="13" t="s">
        <v>39</v>
      </c>
      <c r="C7" s="86" t="s">
        <v>454</v>
      </c>
      <c r="D7" s="87" t="s">
        <v>458</v>
      </c>
      <c r="E7" s="6"/>
      <c r="F7" s="86" t="s">
        <v>450</v>
      </c>
      <c r="G7" s="6"/>
      <c r="H7" s="86" t="s">
        <v>455</v>
      </c>
      <c r="I7" s="86"/>
      <c r="N7" s="86" t="s">
        <v>459</v>
      </c>
    </row>
    <row r="8" spans="1:15" s="23" customFormat="1" x14ac:dyDescent="0.25">
      <c r="A8" s="13" t="s">
        <v>39</v>
      </c>
      <c r="C8" s="86" t="s">
        <v>453</v>
      </c>
      <c r="D8" s="87" t="s">
        <v>457</v>
      </c>
      <c r="E8" s="6"/>
      <c r="F8" s="82" t="s">
        <v>448</v>
      </c>
      <c r="G8" s="6"/>
      <c r="H8" s="86" t="s">
        <v>456</v>
      </c>
      <c r="N8" s="86" t="s">
        <v>460</v>
      </c>
    </row>
    <row r="9" spans="1:15" s="23" customFormat="1" x14ac:dyDescent="0.25">
      <c r="A9" s="13" t="s">
        <v>39</v>
      </c>
      <c r="C9" s="86" t="s">
        <v>446</v>
      </c>
      <c r="D9" s="8" t="s">
        <v>462</v>
      </c>
      <c r="E9" s="6"/>
      <c r="F9" s="6"/>
      <c r="G9" s="6"/>
      <c r="H9" s="86" t="s">
        <v>452</v>
      </c>
      <c r="N9" s="86" t="s">
        <v>461</v>
      </c>
    </row>
    <row r="10" spans="1:15" x14ac:dyDescent="0.25">
      <c r="A10" s="13" t="s">
        <v>39</v>
      </c>
      <c r="N10" s="86" t="s">
        <v>463</v>
      </c>
    </row>
  </sheetData>
  <dataConsolidate link="1"/>
  <dataValidations count="2">
    <dataValidation type="list" allowBlank="1" showInputMessage="1" showErrorMessage="1" sqref="F8">
      <formula1>"&lt;key&gt;,&lt;keine&gt;,varchar,integer,bigint,money,dateTT.MM.YYYY"</formula1>
    </dataValidation>
    <dataValidation type="list" allowBlank="1" showInputMessage="1" showErrorMessage="1" sqref="D9">
      <formula1>"JA,NEIN"</formula1>
    </dataValidation>
  </dataValidations>
  <hyperlinks>
    <hyperlink ref="M5" location="Blattvorlage!A1" display="Blattvorlage!A1"/>
    <hyperlink ref="C5" location="pq2sql_Master!A1" display="Start"/>
    <hyperlink ref="D5" location="Tabellen_Vorlage!A1" display="Speicher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542925</xdr:colOff>
                    <xdr:row>1</xdr:row>
                    <xdr:rowOff>85725</xdr:rowOff>
                  </from>
                  <to>
                    <xdr:col>10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12">
    <tabColor theme="3" tint="-0.249977111117893"/>
  </sheetPr>
  <dimension ref="A1:BY54"/>
  <sheetViews>
    <sheetView showGridLines="0" showRowColHeaders="0" topLeftCell="B2" workbookViewId="0"/>
  </sheetViews>
  <sheetFormatPr baseColWidth="10" defaultRowHeight="15" x14ac:dyDescent="0.25"/>
  <cols>
    <col min="1" max="1" width="3.28515625" style="13" hidden="1" customWidth="1"/>
    <col min="2" max="2" width="2.42578125" style="54" customWidth="1"/>
    <col min="3" max="3" width="16.28515625" style="54" customWidth="1"/>
    <col min="4" max="4" width="17.85546875" style="54" customWidth="1"/>
    <col min="5" max="5" width="16.28515625" style="54" customWidth="1"/>
    <col min="6" max="6" width="21.140625" style="54" customWidth="1"/>
    <col min="7" max="7" width="16.28515625" style="54" customWidth="1"/>
    <col min="8" max="8" width="18.5703125" style="54" customWidth="1"/>
    <col min="9" max="9" width="20.28515625" style="54" customWidth="1"/>
    <col min="10" max="10" width="6.5703125" style="54" customWidth="1"/>
    <col min="11" max="11" width="14.28515625" style="54" customWidth="1"/>
    <col min="12" max="12" width="12.7109375" style="54" customWidth="1"/>
    <col min="13" max="13" width="11.42578125" style="54"/>
    <col min="14" max="14" width="77.5703125" style="54" customWidth="1"/>
    <col min="15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77" s="13" customFormat="1" hidden="1" x14ac:dyDescent="0.25">
      <c r="A1" s="13" t="s">
        <v>38</v>
      </c>
      <c r="B1" s="13" t="s">
        <v>655</v>
      </c>
    </row>
    <row r="2" spans="1:77" s="16" customFormat="1" ht="23.1" customHeight="1" x14ac:dyDescent="0.35">
      <c r="A2" s="18"/>
      <c r="C2" s="16" t="s">
        <v>654</v>
      </c>
      <c r="O2" s="85"/>
    </row>
    <row r="3" spans="1:77" s="20" customFormat="1" ht="23.1" customHeight="1" x14ac:dyDescent="0.25">
      <c r="A3" s="21"/>
      <c r="O3" s="85"/>
    </row>
    <row r="4" spans="1:77" s="20" customFormat="1" ht="23.1" customHeight="1" x14ac:dyDescent="0.25">
      <c r="A4" s="21"/>
      <c r="M4" s="24" t="s">
        <v>37</v>
      </c>
      <c r="O4" s="85"/>
    </row>
    <row r="5" spans="1:77" s="92" customFormat="1" ht="23.1" customHeight="1" x14ac:dyDescent="0.25">
      <c r="A5" s="19"/>
      <c r="C5" s="91" t="s">
        <v>45</v>
      </c>
      <c r="D5" s="83" t="s">
        <v>537</v>
      </c>
      <c r="E5" s="83"/>
      <c r="F5" s="83"/>
      <c r="G5" s="83"/>
      <c r="M5" s="91" t="str">
        <f>gModus</f>
        <v>Anwender</v>
      </c>
    </row>
    <row r="6" spans="1:77" s="49" customFormat="1" ht="15.75" x14ac:dyDescent="0.25">
      <c r="A6" s="13"/>
      <c r="D6" s="121"/>
      <c r="Q6" s="86"/>
      <c r="R6" s="54"/>
      <c r="S6" s="54"/>
      <c r="T6" s="54"/>
      <c r="U6" s="54"/>
      <c r="V6" s="54"/>
    </row>
    <row r="7" spans="1:77" s="49" customFormat="1" ht="15.75" x14ac:dyDescent="0.25">
      <c r="A7" s="13"/>
      <c r="C7" s="124" t="s">
        <v>560</v>
      </c>
      <c r="D7" s="125" t="s">
        <v>561</v>
      </c>
      <c r="E7" s="122"/>
      <c r="F7" s="122"/>
      <c r="G7" s="122"/>
      <c r="H7" s="122"/>
      <c r="I7" s="122"/>
      <c r="J7" s="123"/>
      <c r="Q7" s="86"/>
      <c r="R7" s="54"/>
      <c r="S7" s="54"/>
      <c r="T7" s="54"/>
      <c r="U7" s="54"/>
      <c r="V7" s="54"/>
    </row>
    <row r="8" spans="1:77" s="49" customFormat="1" ht="15.75" x14ac:dyDescent="0.25">
      <c r="A8" s="13"/>
      <c r="D8" s="113"/>
      <c r="G8" s="116" t="s">
        <v>651</v>
      </c>
      <c r="Q8" s="86"/>
      <c r="R8" s="54"/>
      <c r="S8" s="54"/>
      <c r="T8" s="54"/>
      <c r="U8" s="54"/>
      <c r="V8" s="54"/>
    </row>
    <row r="9" spans="1:77" s="23" customFormat="1" hidden="1" x14ac:dyDescent="0.25">
      <c r="A9" s="13" t="s">
        <v>39</v>
      </c>
      <c r="C9" s="112" t="s">
        <v>43</v>
      </c>
      <c r="D9" s="114"/>
      <c r="E9" s="120"/>
      <c r="H9" s="86" t="s">
        <v>564</v>
      </c>
      <c r="L9" s="86" t="s">
        <v>688</v>
      </c>
      <c r="Q9" s="86"/>
      <c r="R9" s="54"/>
      <c r="S9" s="54"/>
      <c r="T9" s="54"/>
      <c r="U9" s="54"/>
      <c r="V9" s="54"/>
    </row>
    <row r="10" spans="1:77" s="23" customFormat="1" ht="15.75" hidden="1" x14ac:dyDescent="0.25">
      <c r="A10" s="13" t="s">
        <v>39</v>
      </c>
      <c r="C10" s="112" t="s">
        <v>52</v>
      </c>
      <c r="D10" s="115"/>
      <c r="E10" s="111"/>
      <c r="F10" s="145" t="s">
        <v>673</v>
      </c>
      <c r="H10" s="86" t="s">
        <v>535</v>
      </c>
      <c r="I10" s="49"/>
      <c r="J10" s="49"/>
      <c r="K10" s="49"/>
      <c r="L10" s="86" t="s">
        <v>649</v>
      </c>
      <c r="Q10" s="86"/>
      <c r="R10" s="54"/>
      <c r="S10" s="54"/>
      <c r="T10" s="54"/>
      <c r="U10" s="54"/>
      <c r="V10" s="54"/>
    </row>
    <row r="11" spans="1:77" s="23" customFormat="1" hidden="1" x14ac:dyDescent="0.25">
      <c r="A11" s="13" t="s">
        <v>39</v>
      </c>
      <c r="C11" s="112" t="s">
        <v>42</v>
      </c>
      <c r="D11" s="135"/>
      <c r="E11" s="111"/>
      <c r="F11" s="146" t="s">
        <v>689</v>
      </c>
      <c r="H11" s="86" t="s">
        <v>536</v>
      </c>
      <c r="J11" s="103"/>
      <c r="L11" s="86" t="s">
        <v>563</v>
      </c>
      <c r="Q11" s="86"/>
      <c r="R11" s="54"/>
      <c r="S11" s="54"/>
      <c r="T11" s="54"/>
      <c r="U11" s="54"/>
      <c r="V11" s="54"/>
    </row>
    <row r="12" spans="1:77" hidden="1" x14ac:dyDescent="0.25">
      <c r="A12" s="13" t="s">
        <v>39</v>
      </c>
      <c r="B12" s="136" t="s">
        <v>583</v>
      </c>
      <c r="C12" s="112" t="s">
        <v>453</v>
      </c>
      <c r="D12" s="115" t="s">
        <v>671</v>
      </c>
      <c r="E12" s="111"/>
      <c r="I12" s="23"/>
      <c r="J12" s="23"/>
      <c r="K12" s="23"/>
      <c r="L12" s="86" t="s">
        <v>650</v>
      </c>
      <c r="N12" s="23"/>
      <c r="Q12" s="86"/>
    </row>
    <row r="14" spans="1:77" x14ac:dyDescent="0.25">
      <c r="C14" s="143"/>
      <c r="D14" s="143"/>
      <c r="E14" s="143"/>
      <c r="F14" s="143"/>
      <c r="G14" s="143"/>
      <c r="H14" s="143"/>
      <c r="I14" s="143"/>
      <c r="J14" s="143"/>
      <c r="K14" s="149" t="s">
        <v>677</v>
      </c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</row>
    <row r="15" spans="1:77" x14ac:dyDescent="0.25">
      <c r="K15" s="150" t="s">
        <v>685</v>
      </c>
    </row>
    <row r="16" spans="1:77" x14ac:dyDescent="0.25">
      <c r="C16" s="147" t="s">
        <v>573</v>
      </c>
      <c r="D16" s="148" t="s">
        <v>85</v>
      </c>
      <c r="E16" s="148" t="s">
        <v>675</v>
      </c>
      <c r="F16" s="148" t="s">
        <v>674</v>
      </c>
      <c r="G16" s="148" t="s">
        <v>538</v>
      </c>
      <c r="H16" s="148" t="s">
        <v>42</v>
      </c>
      <c r="I16" s="148" t="s">
        <v>538</v>
      </c>
      <c r="K16" s="150" t="s">
        <v>690</v>
      </c>
      <c r="O16" s="86"/>
    </row>
    <row r="17" spans="3:14" x14ac:dyDescent="0.25">
      <c r="C17" s="144"/>
      <c r="D17" s="36" t="s">
        <v>657</v>
      </c>
      <c r="E17" s="36" t="s">
        <v>672</v>
      </c>
      <c r="F17" s="36" t="s">
        <v>676</v>
      </c>
      <c r="G17" s="36" t="s">
        <v>656</v>
      </c>
      <c r="H17" s="36" t="s">
        <v>658</v>
      </c>
      <c r="I17" s="36" t="s">
        <v>565</v>
      </c>
      <c r="M17" s="127"/>
    </row>
    <row r="18" spans="3:14" x14ac:dyDescent="0.25">
      <c r="C18" s="144">
        <v>20150115</v>
      </c>
      <c r="D18" s="54">
        <v>1283.2</v>
      </c>
      <c r="E18" s="142" t="s">
        <v>660</v>
      </c>
      <c r="F18" s="54">
        <v>1</v>
      </c>
      <c r="G18" s="141" t="s">
        <v>659</v>
      </c>
      <c r="H18" s="54">
        <f t="shared" ref="H18:H26" si="0">D18*23</f>
        <v>29513.600000000002</v>
      </c>
      <c r="I18" s="54">
        <f>5</f>
        <v>5</v>
      </c>
      <c r="K18" s="149" t="s">
        <v>682</v>
      </c>
    </row>
    <row r="19" spans="3:14" x14ac:dyDescent="0.25">
      <c r="C19" s="144">
        <v>20150215</v>
      </c>
      <c r="D19" s="54">
        <v>1725.3</v>
      </c>
      <c r="E19" s="142" t="s">
        <v>661</v>
      </c>
      <c r="F19" s="54">
        <v>2</v>
      </c>
      <c r="G19" s="54" t="s">
        <v>659</v>
      </c>
      <c r="H19" s="54">
        <f t="shared" si="0"/>
        <v>39681.9</v>
      </c>
      <c r="I19" s="54">
        <f>5</f>
        <v>5</v>
      </c>
      <c r="K19" s="127" t="s">
        <v>678</v>
      </c>
    </row>
    <row r="20" spans="3:14" x14ac:dyDescent="0.25">
      <c r="C20" s="144">
        <v>20150315</v>
      </c>
      <c r="D20" s="54">
        <v>1023.4</v>
      </c>
      <c r="E20" s="142" t="s">
        <v>662</v>
      </c>
      <c r="F20" s="54">
        <v>3</v>
      </c>
      <c r="G20" s="54" t="s">
        <v>659</v>
      </c>
      <c r="H20" s="54">
        <f t="shared" si="0"/>
        <v>23538.2</v>
      </c>
      <c r="I20" s="54">
        <f>5</f>
        <v>5</v>
      </c>
      <c r="K20" s="127"/>
      <c r="L20" s="154" t="s">
        <v>693</v>
      </c>
    </row>
    <row r="21" spans="3:14" x14ac:dyDescent="0.25">
      <c r="C21" s="144">
        <v>20150115</v>
      </c>
      <c r="D21" s="54">
        <v>1123.5</v>
      </c>
      <c r="E21" s="142" t="s">
        <v>664</v>
      </c>
      <c r="F21" s="54">
        <v>1</v>
      </c>
      <c r="G21" s="54" t="s">
        <v>663</v>
      </c>
      <c r="H21" s="54">
        <f t="shared" si="0"/>
        <v>25840.5</v>
      </c>
      <c r="I21" s="54">
        <f>5</f>
        <v>5</v>
      </c>
      <c r="K21" s="127" t="s">
        <v>679</v>
      </c>
      <c r="M21" s="128"/>
    </row>
    <row r="22" spans="3:14" x14ac:dyDescent="0.25">
      <c r="C22" s="144">
        <v>20150215</v>
      </c>
      <c r="D22" s="54">
        <v>1324.6</v>
      </c>
      <c r="E22" s="142" t="s">
        <v>665</v>
      </c>
      <c r="F22" s="54">
        <v>2</v>
      </c>
      <c r="G22" s="54" t="s">
        <v>663</v>
      </c>
      <c r="H22" s="54">
        <f t="shared" si="0"/>
        <v>30465.8</v>
      </c>
      <c r="I22" s="54">
        <f>5</f>
        <v>5</v>
      </c>
      <c r="K22" s="127"/>
      <c r="L22" s="153" t="s">
        <v>694</v>
      </c>
    </row>
    <row r="23" spans="3:14" x14ac:dyDescent="0.25">
      <c r="C23" s="144">
        <v>20150315</v>
      </c>
      <c r="D23" s="54">
        <v>1215.7</v>
      </c>
      <c r="E23" s="142" t="s">
        <v>666</v>
      </c>
      <c r="F23" s="54">
        <v>3</v>
      </c>
      <c r="G23" s="54" t="s">
        <v>663</v>
      </c>
      <c r="H23" s="54">
        <f t="shared" si="0"/>
        <v>27961.100000000002</v>
      </c>
      <c r="I23" s="54">
        <f>5</f>
        <v>5</v>
      </c>
      <c r="K23" s="127"/>
      <c r="L23" s="154" t="s">
        <v>695</v>
      </c>
      <c r="M23" s="128"/>
    </row>
    <row r="24" spans="3:14" x14ac:dyDescent="0.25">
      <c r="C24" s="144">
        <v>20150115</v>
      </c>
      <c r="D24" s="54">
        <v>1672.8</v>
      </c>
      <c r="E24" s="142" t="s">
        <v>668</v>
      </c>
      <c r="F24" s="54">
        <v>1</v>
      </c>
      <c r="G24" s="54" t="s">
        <v>667</v>
      </c>
      <c r="H24" s="54">
        <f t="shared" si="0"/>
        <v>38474.400000000001</v>
      </c>
      <c r="I24" s="54">
        <f>5</f>
        <v>5</v>
      </c>
      <c r="L24" s="154" t="s">
        <v>696</v>
      </c>
      <c r="M24" s="131"/>
    </row>
    <row r="25" spans="3:14" x14ac:dyDescent="0.25">
      <c r="C25" s="144">
        <v>20150215</v>
      </c>
      <c r="D25" s="54">
        <v>1634.9</v>
      </c>
      <c r="E25" s="142" t="s">
        <v>669</v>
      </c>
      <c r="F25" s="54">
        <v>2</v>
      </c>
      <c r="G25" s="54" t="s">
        <v>667</v>
      </c>
      <c r="H25" s="54">
        <f t="shared" si="0"/>
        <v>37602.700000000004</v>
      </c>
      <c r="I25" s="54">
        <f>5</f>
        <v>5</v>
      </c>
      <c r="L25" s="155" t="s">
        <v>686</v>
      </c>
      <c r="M25" s="131"/>
    </row>
    <row r="26" spans="3:14" x14ac:dyDescent="0.25">
      <c r="C26" s="144">
        <v>20150315</v>
      </c>
      <c r="D26" s="54">
        <v>1231</v>
      </c>
      <c r="E26" s="142" t="s">
        <v>670</v>
      </c>
      <c r="F26" s="54">
        <v>3</v>
      </c>
      <c r="G26" s="54" t="s">
        <v>667</v>
      </c>
      <c r="H26" s="54">
        <f t="shared" si="0"/>
        <v>28313</v>
      </c>
      <c r="I26" s="54">
        <f>5</f>
        <v>5</v>
      </c>
      <c r="L26" s="154" t="s">
        <v>697</v>
      </c>
      <c r="M26" s="132"/>
    </row>
    <row r="27" spans="3:14" x14ac:dyDescent="0.25">
      <c r="K27" s="127" t="s">
        <v>680</v>
      </c>
      <c r="L27" s="130"/>
      <c r="M27" s="130"/>
      <c r="N27" s="131"/>
    </row>
    <row r="28" spans="3:14" x14ac:dyDescent="0.25">
      <c r="L28" s="154" t="s">
        <v>698</v>
      </c>
      <c r="M28" s="130"/>
      <c r="N28" s="132"/>
    </row>
    <row r="29" spans="3:14" x14ac:dyDescent="0.25">
      <c r="K29" s="127" t="s">
        <v>681</v>
      </c>
      <c r="N29" s="131"/>
    </row>
    <row r="30" spans="3:14" x14ac:dyDescent="0.25">
      <c r="L30" s="153" t="s">
        <v>699</v>
      </c>
      <c r="N30" s="131"/>
    </row>
    <row r="31" spans="3:14" x14ac:dyDescent="0.25">
      <c r="L31" s="154" t="s">
        <v>700</v>
      </c>
      <c r="N31" s="131"/>
    </row>
    <row r="32" spans="3:14" x14ac:dyDescent="0.25">
      <c r="L32" s="154" t="s">
        <v>701</v>
      </c>
      <c r="N32" s="133"/>
    </row>
    <row r="33" spans="11:14" x14ac:dyDescent="0.25">
      <c r="L33" s="153" t="s">
        <v>702</v>
      </c>
    </row>
    <row r="34" spans="11:14" x14ac:dyDescent="0.25">
      <c r="L34" s="153" t="s">
        <v>706</v>
      </c>
      <c r="N34" s="131"/>
    </row>
    <row r="35" spans="11:14" x14ac:dyDescent="0.25">
      <c r="L35" s="152" t="s">
        <v>687</v>
      </c>
    </row>
    <row r="36" spans="11:14" x14ac:dyDescent="0.25">
      <c r="K36" s="127" t="s">
        <v>691</v>
      </c>
    </row>
    <row r="37" spans="11:14" x14ac:dyDescent="0.25">
      <c r="L37" s="152" t="s">
        <v>703</v>
      </c>
    </row>
    <row r="38" spans="11:14" x14ac:dyDescent="0.25">
      <c r="L38" s="152" t="s">
        <v>704</v>
      </c>
    </row>
    <row r="39" spans="11:14" x14ac:dyDescent="0.25">
      <c r="L39" s="152" t="s">
        <v>705</v>
      </c>
    </row>
    <row r="40" spans="11:14" x14ac:dyDescent="0.25">
      <c r="L40" s="152" t="s">
        <v>692</v>
      </c>
    </row>
    <row r="41" spans="11:14" x14ac:dyDescent="0.25">
      <c r="K41" s="127" t="s">
        <v>683</v>
      </c>
    </row>
    <row r="42" spans="11:14" x14ac:dyDescent="0.25">
      <c r="K42" s="127"/>
      <c r="L42" s="152" t="s">
        <v>707</v>
      </c>
    </row>
    <row r="43" spans="11:14" x14ac:dyDescent="0.25">
      <c r="L43" s="152" t="s">
        <v>708</v>
      </c>
    </row>
    <row r="44" spans="11:14" x14ac:dyDescent="0.25">
      <c r="K44" s="127" t="s">
        <v>684</v>
      </c>
    </row>
    <row r="53" spans="10:10" x14ac:dyDescent="0.25">
      <c r="J53" s="151"/>
    </row>
    <row r="54" spans="10:10" x14ac:dyDescent="0.25">
      <c r="J54" s="151"/>
    </row>
  </sheetData>
  <dataConsolidate/>
  <conditionalFormatting sqref="A14:J14 M14:XFD14">
    <cfRule type="cellIs" dxfId="17" priority="5" operator="equal">
      <formula>"ValueSeriesID"</formula>
    </cfRule>
    <cfRule type="cellIs" dxfId="16" priority="6" operator="equal">
      <formula>"TimeID"</formula>
    </cfRule>
  </conditionalFormatting>
  <conditionalFormatting sqref="F11">
    <cfRule type="cellIs" dxfId="15" priority="3" operator="equal">
      <formula>"ValueSeriesID"</formula>
    </cfRule>
    <cfRule type="cellIs" dxfId="14" priority="4" operator="equal">
      <formula>"TimeID"</formula>
    </cfRule>
  </conditionalFormatting>
  <conditionalFormatting sqref="D16:I16">
    <cfRule type="cellIs" dxfId="13" priority="1" operator="equal">
      <formula>"ValueSeriesID"</formula>
    </cfRule>
    <cfRule type="cellIs" dxfId="12" priority="2" operator="equal">
      <formula>"TimeID"</formula>
    </cfRule>
  </conditionalFormatting>
  <dataValidations count="4">
    <dataValidation type="list" allowBlank="1" showInputMessage="1" showErrorMessage="1" sqref="C14:J14 M14:BX14">
      <formula1>fValues</formula1>
    </dataValidation>
    <dataValidation type="list" allowBlank="1" showInputMessage="1" showErrorMessage="1" sqref="J12">
      <formula1>"&lt;key&gt;,&lt;keine&gt;,varchar,integer,bigint,money,dateTT.MM.YYYY"</formula1>
    </dataValidation>
    <dataValidation type="list" allowBlank="1" showInputMessage="1" showErrorMessage="1" sqref="F11">
      <formula1>"Template1,Template2,Template3"</formula1>
    </dataValidation>
    <dataValidation type="list" allowBlank="1" showInputMessage="1" showErrorMessage="1" sqref="D16:I16">
      <formula1>"K1,K2,K3,&lt;ignore&gt;,ProductID,ProductLineID,FactoryID"</formula1>
    </dataValidation>
  </dataValidations>
  <hyperlinks>
    <hyperlink ref="M5" location="Uplink_nach_Template!A1" display="Blattvorlage!A1"/>
    <hyperlink ref="C5" location="Uplink_nach_Template!A1" display="Start"/>
    <hyperlink ref="D5" location="Uplink_nach_Template!A1" display="Uplink auslösen"/>
    <hyperlink ref="F10" location="Uplink_nach_Template!A1" display="Template lade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4" name="Button 4">
              <controlPr defaultSize="0" print="0" autoFill="0" autoPict="0" macro="[0]!Excel_Standardinteraktion_aktivieren">
                <anchor moveWithCells="1" sizeWithCells="1">
                  <from>
                    <xdr:col>8</xdr:col>
                    <xdr:colOff>333375</xdr:colOff>
                    <xdr:row>1</xdr:row>
                    <xdr:rowOff>85725</xdr:rowOff>
                  </from>
                  <to>
                    <xdr:col>8</xdr:col>
                    <xdr:colOff>1162050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9">
    <tabColor theme="3" tint="-0.249977111117893"/>
  </sheetPr>
  <dimension ref="A1:BY34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16.28515625" style="54" customWidth="1"/>
    <col min="4" max="4" width="17.85546875" style="54" customWidth="1"/>
    <col min="5" max="5" width="16.28515625" style="54" customWidth="1"/>
    <col min="6" max="6" width="21.140625" style="54" customWidth="1"/>
    <col min="7" max="7" width="16.28515625" style="54" customWidth="1"/>
    <col min="8" max="8" width="12" style="54" customWidth="1"/>
    <col min="9" max="9" width="20.28515625" style="54" customWidth="1"/>
    <col min="10" max="10" width="13" style="54" customWidth="1"/>
    <col min="11" max="11" width="14.28515625" style="54" customWidth="1"/>
    <col min="12" max="12" width="12.7109375" style="54" customWidth="1"/>
    <col min="13" max="13" width="11.42578125" style="54"/>
    <col min="14" max="14" width="11.42578125" style="54" customWidth="1"/>
    <col min="15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77" s="13" customFormat="1" x14ac:dyDescent="0.25">
      <c r="A1" s="13" t="s">
        <v>40</v>
      </c>
      <c r="B1" s="13" t="s">
        <v>643</v>
      </c>
    </row>
    <row r="2" spans="1:77" s="16" customFormat="1" ht="23.1" customHeight="1" x14ac:dyDescent="0.35">
      <c r="A2" s="18"/>
      <c r="C2" s="16" t="s">
        <v>584</v>
      </c>
      <c r="O2" s="85"/>
    </row>
    <row r="3" spans="1:77" s="20" customFormat="1" ht="23.1" customHeight="1" x14ac:dyDescent="0.25">
      <c r="A3" s="21"/>
      <c r="O3" s="85"/>
    </row>
    <row r="4" spans="1:77" s="20" customFormat="1" ht="23.1" customHeight="1" x14ac:dyDescent="0.25">
      <c r="A4" s="21"/>
      <c r="M4" s="24" t="s">
        <v>37</v>
      </c>
      <c r="O4" s="85"/>
    </row>
    <row r="5" spans="1:77" s="92" customFormat="1" ht="23.1" customHeight="1" x14ac:dyDescent="0.25">
      <c r="A5" s="19"/>
      <c r="C5" s="91" t="s">
        <v>45</v>
      </c>
      <c r="D5" s="83" t="s">
        <v>537</v>
      </c>
      <c r="E5" s="83"/>
      <c r="F5" s="83"/>
      <c r="G5" s="83"/>
      <c r="M5" s="91" t="str">
        <f>gModus</f>
        <v>Anwender</v>
      </c>
    </row>
    <row r="6" spans="1:77" s="49" customFormat="1" ht="15.75" x14ac:dyDescent="0.25">
      <c r="A6" s="13"/>
      <c r="D6" s="121"/>
      <c r="Q6" s="86"/>
      <c r="R6" s="54"/>
      <c r="S6" s="54"/>
      <c r="T6" s="54"/>
      <c r="U6" s="54"/>
      <c r="V6" s="54"/>
    </row>
    <row r="7" spans="1:77" s="49" customFormat="1" ht="15.75" x14ac:dyDescent="0.25">
      <c r="A7" s="13"/>
      <c r="C7" s="124" t="s">
        <v>560</v>
      </c>
      <c r="D7" s="156" t="s">
        <v>717</v>
      </c>
      <c r="E7" s="122"/>
      <c r="F7" s="122"/>
      <c r="G7" s="122"/>
      <c r="H7" s="122"/>
      <c r="I7" s="122"/>
      <c r="J7" s="123"/>
      <c r="Q7" s="86"/>
      <c r="R7" s="54"/>
      <c r="S7" s="54"/>
      <c r="T7" s="54"/>
      <c r="U7" s="54"/>
      <c r="V7" s="54"/>
    </row>
    <row r="8" spans="1:77" s="49" customFormat="1" ht="15.75" x14ac:dyDescent="0.25">
      <c r="A8" s="13"/>
      <c r="D8" s="113"/>
      <c r="F8" s="116" t="s">
        <v>709</v>
      </c>
      <c r="L8" s="86" t="s">
        <v>710</v>
      </c>
      <c r="Q8" s="86"/>
      <c r="R8" s="54"/>
      <c r="S8" s="54"/>
      <c r="T8" s="54"/>
      <c r="U8" s="54"/>
      <c r="V8" s="54"/>
    </row>
    <row r="9" spans="1:77" s="23" customFormat="1" x14ac:dyDescent="0.25">
      <c r="A9" s="13" t="s">
        <v>39</v>
      </c>
      <c r="C9" s="112" t="s">
        <v>43</v>
      </c>
      <c r="D9" s="114"/>
      <c r="E9" s="120"/>
      <c r="G9" s="86" t="s">
        <v>711</v>
      </c>
      <c r="H9" s="86"/>
      <c r="L9" s="86" t="s">
        <v>712</v>
      </c>
      <c r="Q9" s="86"/>
      <c r="R9" s="54"/>
      <c r="S9" s="54"/>
      <c r="T9" s="54"/>
      <c r="U9" s="54"/>
      <c r="V9" s="54"/>
    </row>
    <row r="10" spans="1:77" s="23" customFormat="1" ht="15.75" x14ac:dyDescent="0.25">
      <c r="A10" s="13" t="s">
        <v>39</v>
      </c>
      <c r="C10" s="112" t="s">
        <v>52</v>
      </c>
      <c r="D10" s="115"/>
      <c r="E10" s="111"/>
      <c r="G10" s="86" t="s">
        <v>713</v>
      </c>
      <c r="H10" s="86"/>
      <c r="I10" s="49"/>
      <c r="J10" s="49"/>
      <c r="K10" s="49"/>
      <c r="L10" s="86" t="s">
        <v>714</v>
      </c>
      <c r="Q10" s="86"/>
      <c r="R10" s="54"/>
      <c r="S10" s="54"/>
      <c r="T10" s="54"/>
      <c r="U10" s="54"/>
      <c r="V10" s="54"/>
    </row>
    <row r="11" spans="1:77" s="23" customFormat="1" x14ac:dyDescent="0.25">
      <c r="A11" s="13" t="s">
        <v>39</v>
      </c>
      <c r="C11" s="112" t="s">
        <v>42</v>
      </c>
      <c r="D11" s="135"/>
      <c r="E11" s="111"/>
      <c r="G11" s="86" t="s">
        <v>715</v>
      </c>
      <c r="H11" s="86"/>
      <c r="J11" s="103"/>
      <c r="L11" s="86" t="s">
        <v>716</v>
      </c>
      <c r="Q11" s="86"/>
      <c r="R11" s="54"/>
      <c r="S11" s="54"/>
      <c r="T11" s="54"/>
      <c r="U11" s="54"/>
      <c r="V11" s="54"/>
    </row>
    <row r="12" spans="1:77" x14ac:dyDescent="0.25">
      <c r="A12" s="13" t="s">
        <v>39</v>
      </c>
      <c r="B12" s="136" t="s">
        <v>583</v>
      </c>
      <c r="C12" s="112" t="s">
        <v>453</v>
      </c>
      <c r="D12" s="115" t="s">
        <v>572</v>
      </c>
      <c r="E12" s="111"/>
      <c r="I12" s="23"/>
      <c r="J12" s="23"/>
      <c r="K12" s="23"/>
      <c r="L12" s="86"/>
      <c r="N12" s="23"/>
      <c r="Q12" s="86"/>
    </row>
    <row r="14" spans="1:77" x14ac:dyDescent="0.25">
      <c r="C14" s="110" t="s">
        <v>42</v>
      </c>
      <c r="D14" s="110" t="s">
        <v>562</v>
      </c>
      <c r="E14" s="110" t="s">
        <v>43</v>
      </c>
      <c r="F14" s="110" t="s">
        <v>68</v>
      </c>
      <c r="G14" s="110" t="s">
        <v>573</v>
      </c>
      <c r="H14" s="110" t="s">
        <v>578</v>
      </c>
      <c r="I14" s="110" t="s">
        <v>576</v>
      </c>
      <c r="J14" s="110" t="s">
        <v>579</v>
      </c>
      <c r="K14" s="110" t="s">
        <v>538</v>
      </c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</row>
    <row r="15" spans="1:77" x14ac:dyDescent="0.25">
      <c r="C15" s="54" t="s">
        <v>565</v>
      </c>
      <c r="D15" s="54" t="s">
        <v>566</v>
      </c>
      <c r="E15" s="54" t="s">
        <v>567</v>
      </c>
      <c r="F15" s="54" t="s">
        <v>568</v>
      </c>
      <c r="G15" s="54" t="s">
        <v>569</v>
      </c>
      <c r="H15" s="54" t="s">
        <v>570</v>
      </c>
      <c r="I15" s="54" t="s">
        <v>571</v>
      </c>
      <c r="J15" s="54" t="s">
        <v>580</v>
      </c>
      <c r="K15" s="54" t="s">
        <v>581</v>
      </c>
    </row>
    <row r="16" spans="1:77" x14ac:dyDescent="0.25">
      <c r="O16" s="86"/>
    </row>
    <row r="17" spans="10:14" x14ac:dyDescent="0.25">
      <c r="J17" s="36"/>
      <c r="N17" s="127"/>
    </row>
    <row r="21" spans="10:14" x14ac:dyDescent="0.25">
      <c r="N21" s="128"/>
    </row>
    <row r="23" spans="10:14" x14ac:dyDescent="0.25">
      <c r="N23" s="128"/>
    </row>
    <row r="24" spans="10:14" x14ac:dyDescent="0.25">
      <c r="L24" s="130"/>
      <c r="M24" s="130"/>
      <c r="N24" s="131"/>
    </row>
    <row r="25" spans="10:14" x14ac:dyDescent="0.25">
      <c r="N25" s="131"/>
    </row>
    <row r="26" spans="10:14" x14ac:dyDescent="0.25">
      <c r="L26" s="130"/>
      <c r="M26" s="130"/>
      <c r="N26" s="132"/>
    </row>
    <row r="27" spans="10:14" x14ac:dyDescent="0.25">
      <c r="L27" s="130"/>
      <c r="M27" s="130"/>
      <c r="N27" s="131"/>
    </row>
    <row r="28" spans="10:14" x14ac:dyDescent="0.25">
      <c r="L28" s="130"/>
      <c r="M28" s="130"/>
      <c r="N28" s="132"/>
    </row>
    <row r="29" spans="10:14" x14ac:dyDescent="0.25">
      <c r="N29" s="131"/>
    </row>
    <row r="30" spans="10:14" x14ac:dyDescent="0.25">
      <c r="N30" s="131"/>
    </row>
    <row r="31" spans="10:14" x14ac:dyDescent="0.25">
      <c r="N31" s="131"/>
    </row>
    <row r="32" spans="10:14" x14ac:dyDescent="0.25">
      <c r="N32" s="133"/>
    </row>
    <row r="34" spans="14:14" x14ac:dyDescent="0.25">
      <c r="N34" s="131"/>
    </row>
  </sheetData>
  <dataConsolidate/>
  <conditionalFormatting sqref="A14:XFD14">
    <cfRule type="cellIs" dxfId="11" priority="1" operator="equal">
      <formula>"ValueSeriesID"</formula>
    </cfRule>
    <cfRule type="cellIs" dxfId="10" priority="2" operator="equal">
      <formula>"TimeID"</formula>
    </cfRule>
  </conditionalFormatting>
  <dataValidations count="2">
    <dataValidation type="list" allowBlank="1" showInputMessage="1" showErrorMessage="1" sqref="J12">
      <formula1>"&lt;key&gt;,&lt;keine&gt;,varchar,integer,bigint,money,dateTT.MM.YYYY"</formula1>
    </dataValidation>
    <dataValidation type="list" allowBlank="1" showInputMessage="1" showErrorMessage="1" sqref="C14:BX14">
      <formula1>fValues</formula1>
    </dataValidation>
  </dataValidations>
  <hyperlinks>
    <hyperlink ref="M5" location="xls2pfpl!A1" display="Blattvorlage!A1"/>
    <hyperlink ref="C5" location="PF_Uplink_Values!A1" display="Start"/>
    <hyperlink ref="D5" location="PF_Uplink_Values!A1" display="Uplink auslöse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8" r:id="rId4" name="Button 6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771525</xdr:colOff>
                    <xdr:row>1</xdr:row>
                    <xdr:rowOff>85725</xdr:rowOff>
                  </from>
                  <to>
                    <xdr:col>10</xdr:col>
                    <xdr:colOff>733425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6">
    <tabColor theme="3"/>
  </sheetPr>
  <dimension ref="A1:AX35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16.28515625" style="54" customWidth="1"/>
    <col min="4" max="4" width="17.85546875" style="54" customWidth="1"/>
    <col min="5" max="5" width="16.28515625" style="54" customWidth="1"/>
    <col min="6" max="6" width="21.140625" style="54" customWidth="1"/>
    <col min="7" max="7" width="16.28515625" style="54" customWidth="1"/>
    <col min="8" max="8" width="12" style="54" customWidth="1"/>
    <col min="9" max="9" width="20.28515625" style="54" customWidth="1"/>
    <col min="10" max="10" width="13" style="54" customWidth="1"/>
    <col min="11" max="11" width="26.28515625" style="54" customWidth="1"/>
    <col min="12" max="12" width="12.7109375" style="54" customWidth="1"/>
    <col min="13" max="13" width="11.42578125" style="54"/>
    <col min="14" max="14" width="13" style="54" customWidth="1"/>
    <col min="15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50" s="13" customFormat="1" x14ac:dyDescent="0.25">
      <c r="A1" s="13" t="s">
        <v>40</v>
      </c>
      <c r="B1" s="13" t="s">
        <v>641</v>
      </c>
    </row>
    <row r="2" spans="1:50" s="16" customFormat="1" ht="23.1" customHeight="1" x14ac:dyDescent="0.35">
      <c r="A2" s="18"/>
      <c r="C2" s="16" t="s">
        <v>544</v>
      </c>
      <c r="O2" s="85"/>
    </row>
    <row r="3" spans="1:50" s="20" customFormat="1" ht="23.1" customHeight="1" x14ac:dyDescent="0.25">
      <c r="A3" s="21"/>
      <c r="O3" s="85"/>
    </row>
    <row r="4" spans="1:50" s="20" customFormat="1" ht="23.1" customHeight="1" x14ac:dyDescent="0.25">
      <c r="A4" s="21"/>
      <c r="M4" s="24" t="s">
        <v>37</v>
      </c>
      <c r="O4" s="85"/>
    </row>
    <row r="5" spans="1:50" s="92" customFormat="1" ht="23.1" customHeight="1" x14ac:dyDescent="0.25">
      <c r="A5" s="19"/>
      <c r="C5" s="91" t="s">
        <v>45</v>
      </c>
      <c r="D5" s="83" t="s">
        <v>537</v>
      </c>
      <c r="E5" s="83"/>
      <c r="F5" s="83"/>
      <c r="G5" s="83"/>
      <c r="M5" s="91" t="str">
        <f>gModus</f>
        <v>Anwender</v>
      </c>
    </row>
    <row r="6" spans="1:50" s="49" customFormat="1" ht="15.75" x14ac:dyDescent="0.25">
      <c r="A6" s="13"/>
      <c r="D6" s="121"/>
      <c r="Q6" s="86"/>
      <c r="R6" s="54"/>
      <c r="S6" s="54"/>
      <c r="T6" s="54"/>
      <c r="U6" s="54"/>
      <c r="V6" s="54"/>
    </row>
    <row r="7" spans="1:50" s="49" customFormat="1" ht="15.75" x14ac:dyDescent="0.25">
      <c r="A7" s="13"/>
      <c r="C7" s="124" t="s">
        <v>560</v>
      </c>
      <c r="D7" s="156" t="s">
        <v>717</v>
      </c>
      <c r="E7" s="122"/>
      <c r="F7" s="122"/>
      <c r="G7" s="122"/>
      <c r="H7" s="122"/>
      <c r="I7" s="122"/>
      <c r="J7" s="123"/>
      <c r="Q7" s="86"/>
      <c r="R7" s="54"/>
      <c r="S7" s="54"/>
      <c r="T7" s="54"/>
      <c r="U7" s="54"/>
      <c r="V7" s="54"/>
    </row>
    <row r="8" spans="1:50" s="49" customFormat="1" ht="15.75" x14ac:dyDescent="0.25">
      <c r="A8" s="13"/>
      <c r="D8" s="113"/>
      <c r="Q8" s="86"/>
      <c r="R8" s="54"/>
      <c r="S8" s="54"/>
      <c r="T8" s="54"/>
      <c r="U8" s="54"/>
      <c r="V8" s="54"/>
    </row>
    <row r="9" spans="1:50" s="23" customFormat="1" x14ac:dyDescent="0.25">
      <c r="A9" s="13" t="s">
        <v>39</v>
      </c>
      <c r="C9" s="112" t="s">
        <v>43</v>
      </c>
      <c r="D9" s="114"/>
      <c r="E9" s="120" t="s">
        <v>526</v>
      </c>
      <c r="F9" s="119" t="s">
        <v>582</v>
      </c>
      <c r="G9" s="116" t="s">
        <v>718</v>
      </c>
      <c r="L9" s="86" t="s">
        <v>719</v>
      </c>
      <c r="Q9" s="86"/>
      <c r="R9" s="54"/>
      <c r="S9" s="54"/>
      <c r="T9" s="54"/>
      <c r="U9" s="54"/>
      <c r="V9" s="54"/>
    </row>
    <row r="10" spans="1:50" s="23" customFormat="1" ht="15.75" x14ac:dyDescent="0.25">
      <c r="A10" s="13" t="s">
        <v>39</v>
      </c>
      <c r="C10" s="112" t="s">
        <v>52</v>
      </c>
      <c r="D10" s="115"/>
      <c r="E10" s="111"/>
      <c r="H10" s="86" t="s">
        <v>711</v>
      </c>
      <c r="I10" s="49"/>
      <c r="J10" s="49"/>
      <c r="K10" s="49"/>
      <c r="L10" s="86" t="s">
        <v>712</v>
      </c>
      <c r="Q10" s="86"/>
      <c r="R10" s="54"/>
      <c r="S10" s="54"/>
      <c r="T10" s="54"/>
      <c r="U10" s="54"/>
      <c r="V10" s="54"/>
    </row>
    <row r="11" spans="1:50" s="23" customFormat="1" x14ac:dyDescent="0.25">
      <c r="A11" s="13" t="s">
        <v>39</v>
      </c>
      <c r="C11" s="112" t="s">
        <v>453</v>
      </c>
      <c r="D11" s="115" t="s">
        <v>545</v>
      </c>
      <c r="E11" s="111"/>
      <c r="H11" s="86" t="s">
        <v>713</v>
      </c>
      <c r="J11" s="103"/>
      <c r="L11" s="86" t="s">
        <v>720</v>
      </c>
      <c r="Q11" s="86"/>
      <c r="R11" s="54"/>
      <c r="S11" s="54"/>
      <c r="T11" s="54"/>
      <c r="U11" s="54"/>
      <c r="V11" s="54"/>
    </row>
    <row r="12" spans="1:50" x14ac:dyDescent="0.25">
      <c r="A12" s="13" t="s">
        <v>39</v>
      </c>
      <c r="C12" s="112" t="s">
        <v>541</v>
      </c>
      <c r="D12" s="126" t="s">
        <v>583</v>
      </c>
      <c r="E12" s="111"/>
      <c r="H12" s="86" t="s">
        <v>715</v>
      </c>
      <c r="I12" s="23"/>
      <c r="J12" s="23"/>
      <c r="K12" s="23"/>
      <c r="L12" s="86" t="s">
        <v>721</v>
      </c>
      <c r="N12" s="23"/>
      <c r="Q12" s="86"/>
    </row>
    <row r="14" spans="1:50" x14ac:dyDescent="0.25">
      <c r="C14" s="110" t="s">
        <v>42</v>
      </c>
      <c r="D14" s="110" t="s">
        <v>562</v>
      </c>
      <c r="E14" s="110" t="s">
        <v>43</v>
      </c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</row>
    <row r="15" spans="1:50" x14ac:dyDescent="0.25">
      <c r="C15" s="54" t="s">
        <v>565</v>
      </c>
      <c r="D15" s="54" t="s">
        <v>566</v>
      </c>
      <c r="E15" s="54" t="s">
        <v>567</v>
      </c>
    </row>
    <row r="16" spans="1:50" x14ac:dyDescent="0.25">
      <c r="K16" s="86"/>
    </row>
    <row r="17" spans="10:14" x14ac:dyDescent="0.25">
      <c r="N17" s="127"/>
    </row>
    <row r="20" spans="10:14" x14ac:dyDescent="0.25">
      <c r="J20" s="36"/>
    </row>
    <row r="21" spans="10:14" x14ac:dyDescent="0.25">
      <c r="J21" s="36"/>
      <c r="N21" s="128"/>
    </row>
    <row r="23" spans="10:14" x14ac:dyDescent="0.25">
      <c r="J23" s="36"/>
      <c r="N23" s="128"/>
    </row>
    <row r="24" spans="10:14" x14ac:dyDescent="0.25">
      <c r="J24" s="129"/>
      <c r="K24" s="130"/>
      <c r="L24" s="130"/>
      <c r="M24" s="130"/>
      <c r="N24" s="131"/>
    </row>
    <row r="25" spans="10:14" x14ac:dyDescent="0.25">
      <c r="N25" s="131"/>
    </row>
    <row r="26" spans="10:14" x14ac:dyDescent="0.25">
      <c r="J26" s="129"/>
      <c r="K26" s="130"/>
      <c r="L26" s="130"/>
      <c r="M26" s="130"/>
      <c r="N26" s="132"/>
    </row>
    <row r="27" spans="10:14" x14ac:dyDescent="0.25">
      <c r="J27" s="130"/>
      <c r="K27" s="130"/>
      <c r="L27" s="130"/>
      <c r="M27" s="130"/>
      <c r="N27" s="131"/>
    </row>
    <row r="28" spans="10:14" x14ac:dyDescent="0.25">
      <c r="J28" s="134"/>
      <c r="K28" s="130"/>
      <c r="L28" s="130"/>
      <c r="M28" s="130"/>
      <c r="N28" s="132"/>
    </row>
    <row r="29" spans="10:14" x14ac:dyDescent="0.25">
      <c r="J29" s="36"/>
      <c r="N29" s="131"/>
    </row>
    <row r="30" spans="10:14" x14ac:dyDescent="0.25">
      <c r="N30" s="131"/>
    </row>
    <row r="31" spans="10:14" x14ac:dyDescent="0.25">
      <c r="N31" s="131"/>
    </row>
    <row r="32" spans="10:14" x14ac:dyDescent="0.25">
      <c r="J32" s="129"/>
      <c r="N32" s="133"/>
    </row>
    <row r="33" spans="10:14" x14ac:dyDescent="0.25">
      <c r="J33" s="36"/>
    </row>
    <row r="34" spans="10:14" x14ac:dyDescent="0.25">
      <c r="J34" s="36"/>
      <c r="N34" s="131"/>
    </row>
    <row r="35" spans="10:14" x14ac:dyDescent="0.25">
      <c r="J35" s="36"/>
    </row>
  </sheetData>
  <dataConsolidate link="1"/>
  <conditionalFormatting sqref="A14:XFD14">
    <cfRule type="cellIs" dxfId="9" priority="1" operator="equal">
      <formula>"ProductID"</formula>
    </cfRule>
  </conditionalFormatting>
  <dataValidations count="3">
    <dataValidation type="list" allowBlank="1" showInputMessage="1" showErrorMessage="1" sqref="J12">
      <formula1>"&lt;key&gt;,&lt;keine&gt;,varchar,integer,bigint,money,dateTT.MM.YYYY"</formula1>
    </dataValidation>
    <dataValidation type="list" allowBlank="1" showInputMessage="1" showErrorMessage="1" sqref="D12">
      <formula1>"YES,NO"</formula1>
    </dataValidation>
    <dataValidation type="list" allowBlank="1" showInputMessage="1" showErrorMessage="1" sqref="C14:AY14">
      <formula1>dProducts</formula1>
    </dataValidation>
  </dataValidations>
  <hyperlinks>
    <hyperlink ref="M5" location="xls2pfpl!A1" display="Blattvorlage!A1"/>
    <hyperlink ref="C5" location="PF_Uplink_Products!A1" display="Start"/>
    <hyperlink ref="D5" location="PF_Uplink_Products!A1" display="Uplink auslöse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7" r:id="rId4" name="Button 11">
              <controlPr defaultSize="0" print="0" autoFill="0" autoPict="0" macro="[0]!Excel_Standardinteraktion_aktivieren">
                <anchor moveWithCells="1" sizeWithCells="1">
                  <from>
                    <xdr:col>10</xdr:col>
                    <xdr:colOff>771525</xdr:colOff>
                    <xdr:row>1</xdr:row>
                    <xdr:rowOff>85725</xdr:rowOff>
                  </from>
                  <to>
                    <xdr:col>10</xdr:col>
                    <xdr:colOff>1600200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10">
    <tabColor theme="3" tint="0.39997558519241921"/>
  </sheetPr>
  <dimension ref="A1:BA35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16.28515625" style="54" customWidth="1"/>
    <col min="4" max="4" width="17.85546875" style="54" customWidth="1"/>
    <col min="5" max="5" width="16.28515625" style="54" customWidth="1"/>
    <col min="6" max="6" width="21.140625" style="54" customWidth="1"/>
    <col min="7" max="7" width="16.28515625" style="54" customWidth="1"/>
    <col min="8" max="8" width="17.42578125" style="54" customWidth="1"/>
    <col min="9" max="9" width="20.28515625" style="54" customWidth="1"/>
    <col min="10" max="10" width="17.28515625" style="54" customWidth="1"/>
    <col min="11" max="11" width="14.28515625" style="54" customWidth="1"/>
    <col min="12" max="12" width="12.7109375" style="54" customWidth="1"/>
    <col min="13" max="13" width="11.42578125" style="54"/>
    <col min="14" max="14" width="13.42578125" style="54" customWidth="1"/>
    <col min="15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53" s="13" customFormat="1" x14ac:dyDescent="0.25">
      <c r="A1" s="13" t="s">
        <v>40</v>
      </c>
      <c r="B1" s="13" t="s">
        <v>534</v>
      </c>
    </row>
    <row r="2" spans="1:53" s="16" customFormat="1" ht="23.1" customHeight="1" x14ac:dyDescent="0.35">
      <c r="A2" s="18"/>
      <c r="C2" s="16" t="s">
        <v>638</v>
      </c>
      <c r="O2" s="85"/>
    </row>
    <row r="3" spans="1:53" s="20" customFormat="1" ht="23.1" customHeight="1" x14ac:dyDescent="0.25">
      <c r="A3" s="21"/>
      <c r="O3" s="85"/>
    </row>
    <row r="4" spans="1:53" s="20" customFormat="1" ht="23.1" customHeight="1" x14ac:dyDescent="0.25">
      <c r="A4" s="21"/>
      <c r="M4" s="24" t="s">
        <v>37</v>
      </c>
      <c r="O4" s="85"/>
    </row>
    <row r="5" spans="1:53" s="92" customFormat="1" ht="23.1" customHeight="1" x14ac:dyDescent="0.25">
      <c r="A5" s="19"/>
      <c r="C5" s="91" t="s">
        <v>45</v>
      </c>
      <c r="D5" s="83" t="s">
        <v>537</v>
      </c>
      <c r="E5" s="83"/>
      <c r="F5" s="83"/>
      <c r="G5" s="83"/>
      <c r="M5" s="91" t="str">
        <f>gModus</f>
        <v>Anwender</v>
      </c>
    </row>
    <row r="6" spans="1:53" s="49" customFormat="1" ht="15.75" x14ac:dyDescent="0.25">
      <c r="A6" s="13"/>
      <c r="D6" s="121"/>
      <c r="Q6" s="86"/>
      <c r="R6" s="54"/>
      <c r="S6" s="54"/>
      <c r="T6" s="54"/>
      <c r="U6" s="54"/>
      <c r="V6" s="54"/>
    </row>
    <row r="7" spans="1:53" s="49" customFormat="1" ht="15.75" x14ac:dyDescent="0.25">
      <c r="A7" s="13"/>
      <c r="C7" s="124" t="s">
        <v>560</v>
      </c>
      <c r="D7" s="156" t="s">
        <v>717</v>
      </c>
      <c r="E7" s="122"/>
      <c r="F7" s="122"/>
      <c r="G7" s="122"/>
      <c r="H7" s="122"/>
      <c r="I7" s="122"/>
      <c r="J7" s="123"/>
      <c r="Q7" s="86"/>
      <c r="R7" s="54"/>
      <c r="S7" s="54"/>
      <c r="T7" s="54"/>
      <c r="U7" s="54"/>
      <c r="V7" s="54"/>
    </row>
    <row r="8" spans="1:53" s="49" customFormat="1" ht="15.75" x14ac:dyDescent="0.25">
      <c r="A8" s="13"/>
      <c r="D8" s="113"/>
      <c r="Q8" s="86"/>
      <c r="R8" s="54"/>
      <c r="S8" s="54"/>
      <c r="T8" s="54"/>
      <c r="U8" s="54"/>
      <c r="V8" s="54"/>
    </row>
    <row r="9" spans="1:53" s="23" customFormat="1" x14ac:dyDescent="0.25">
      <c r="A9" s="13" t="s">
        <v>39</v>
      </c>
      <c r="C9" s="112" t="s">
        <v>43</v>
      </c>
      <c r="D9" s="114"/>
      <c r="E9" s="120"/>
      <c r="F9" s="116" t="s">
        <v>722</v>
      </c>
      <c r="K9" s="86" t="s">
        <v>723</v>
      </c>
      <c r="Q9" s="86"/>
      <c r="R9" s="54"/>
      <c r="S9" s="54"/>
      <c r="T9" s="54"/>
      <c r="U9" s="54"/>
      <c r="V9" s="54"/>
    </row>
    <row r="10" spans="1:53" s="23" customFormat="1" ht="15.75" x14ac:dyDescent="0.25">
      <c r="A10" s="13" t="s">
        <v>39</v>
      </c>
      <c r="C10" s="112" t="s">
        <v>453</v>
      </c>
      <c r="D10" s="115" t="s">
        <v>545</v>
      </c>
      <c r="E10" s="111"/>
      <c r="G10" s="86" t="s">
        <v>711</v>
      </c>
      <c r="H10" s="49"/>
      <c r="I10" s="49"/>
      <c r="J10" s="49"/>
      <c r="K10" s="86" t="s">
        <v>724</v>
      </c>
      <c r="Q10" s="86"/>
      <c r="R10" s="54"/>
      <c r="S10" s="54"/>
      <c r="T10" s="54"/>
      <c r="U10" s="54"/>
      <c r="V10" s="54"/>
    </row>
    <row r="11" spans="1:53" s="23" customFormat="1" x14ac:dyDescent="0.25">
      <c r="A11" s="13" t="s">
        <v>39</v>
      </c>
      <c r="B11" s="54"/>
      <c r="C11" s="112" t="s">
        <v>637</v>
      </c>
      <c r="D11" s="126" t="s">
        <v>583</v>
      </c>
      <c r="E11" s="111"/>
      <c r="G11" s="86" t="s">
        <v>713</v>
      </c>
      <c r="I11" s="103"/>
      <c r="K11" s="86" t="s">
        <v>725</v>
      </c>
      <c r="Q11" s="86"/>
      <c r="R11" s="54"/>
      <c r="S11" s="54"/>
      <c r="T11" s="54"/>
      <c r="U11" s="54"/>
      <c r="V11" s="54"/>
    </row>
    <row r="12" spans="1:53" x14ac:dyDescent="0.25">
      <c r="A12" s="13" t="s">
        <v>39</v>
      </c>
      <c r="E12" s="6"/>
      <c r="G12" s="86" t="s">
        <v>715</v>
      </c>
      <c r="H12" s="23"/>
      <c r="I12" s="23"/>
      <c r="J12" s="23"/>
      <c r="K12" s="86" t="s">
        <v>721</v>
      </c>
      <c r="N12" s="23"/>
      <c r="Q12" s="86"/>
    </row>
    <row r="14" spans="1:53" x14ac:dyDescent="0.25">
      <c r="C14" s="110" t="s">
        <v>562</v>
      </c>
      <c r="D14" s="110" t="s">
        <v>43</v>
      </c>
      <c r="E14" s="110" t="s">
        <v>498</v>
      </c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</row>
    <row r="15" spans="1:53" x14ac:dyDescent="0.25">
      <c r="C15" s="54" t="s">
        <v>565</v>
      </c>
      <c r="D15" s="54" t="s">
        <v>566</v>
      </c>
      <c r="E15" s="54" t="s">
        <v>567</v>
      </c>
    </row>
    <row r="16" spans="1:53" x14ac:dyDescent="0.25">
      <c r="K16" s="86"/>
    </row>
    <row r="17" spans="10:14" x14ac:dyDescent="0.25">
      <c r="N17" s="127"/>
    </row>
    <row r="20" spans="10:14" x14ac:dyDescent="0.25">
      <c r="J20" s="36"/>
    </row>
    <row r="21" spans="10:14" x14ac:dyDescent="0.25">
      <c r="J21" s="36"/>
      <c r="N21" s="128"/>
    </row>
    <row r="23" spans="10:14" x14ac:dyDescent="0.25">
      <c r="J23" s="36"/>
      <c r="N23" s="128"/>
    </row>
    <row r="24" spans="10:14" x14ac:dyDescent="0.25">
      <c r="J24" s="129"/>
      <c r="K24" s="130"/>
      <c r="L24" s="130"/>
      <c r="M24" s="130"/>
      <c r="N24" s="131"/>
    </row>
    <row r="25" spans="10:14" x14ac:dyDescent="0.25">
      <c r="N25" s="131"/>
    </row>
    <row r="26" spans="10:14" x14ac:dyDescent="0.25">
      <c r="J26" s="129"/>
      <c r="K26" s="130"/>
      <c r="L26" s="130"/>
      <c r="M26" s="130"/>
      <c r="N26" s="132"/>
    </row>
    <row r="27" spans="10:14" x14ac:dyDescent="0.25">
      <c r="J27" s="130"/>
      <c r="K27" s="130"/>
      <c r="L27" s="130"/>
      <c r="M27" s="130"/>
      <c r="N27" s="131"/>
    </row>
    <row r="28" spans="10:14" x14ac:dyDescent="0.25">
      <c r="J28" s="134"/>
      <c r="K28" s="130"/>
      <c r="L28" s="130"/>
      <c r="M28" s="130"/>
      <c r="N28" s="132"/>
    </row>
    <row r="29" spans="10:14" x14ac:dyDescent="0.25">
      <c r="J29" s="36"/>
      <c r="N29" s="131"/>
    </row>
    <row r="30" spans="10:14" x14ac:dyDescent="0.25">
      <c r="N30" s="131"/>
    </row>
    <row r="31" spans="10:14" x14ac:dyDescent="0.25">
      <c r="N31" s="131"/>
    </row>
    <row r="32" spans="10:14" x14ac:dyDescent="0.25">
      <c r="J32" s="129"/>
      <c r="N32" s="133"/>
    </row>
    <row r="33" spans="10:14" x14ac:dyDescent="0.25">
      <c r="J33" s="36"/>
    </row>
    <row r="34" spans="10:14" x14ac:dyDescent="0.25">
      <c r="J34" s="36"/>
      <c r="N34" s="131"/>
    </row>
    <row r="35" spans="10:14" x14ac:dyDescent="0.25">
      <c r="J35" s="36"/>
    </row>
  </sheetData>
  <dataConsolidate/>
  <conditionalFormatting sqref="A14:XFD14">
    <cfRule type="cellIs" dxfId="8" priority="1" operator="equal">
      <formula>"NameShort"</formula>
    </cfRule>
    <cfRule type="cellIs" dxfId="7" priority="2" operator="equal">
      <formula>"ProductLineID"</formula>
    </cfRule>
  </conditionalFormatting>
  <dataValidations count="3">
    <dataValidation type="list" allowBlank="1" showInputMessage="1" showErrorMessage="1" sqref="D11">
      <formula1>"YES,NO"</formula1>
    </dataValidation>
    <dataValidation type="list" allowBlank="1" showInputMessage="1" showErrorMessage="1" sqref="I12">
      <formula1>"&lt;key&gt;,&lt;keine&gt;,varchar,integer,bigint,money,dateTT.MM.YYYY"</formula1>
    </dataValidation>
    <dataValidation type="list" allowBlank="1" showInputMessage="1" showErrorMessage="1" sqref="C14:BA14">
      <formula1>dProductLines</formula1>
    </dataValidation>
  </dataValidations>
  <hyperlinks>
    <hyperlink ref="M5" location="xls2pfpl!A1" display="Blattvorlage!A1"/>
    <hyperlink ref="C5" location="PF_Uplink_Products!A1" display="Start"/>
    <hyperlink ref="D5" location="PF_Uplink_Products!A1" display="Uplink auslöse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409575</xdr:colOff>
                    <xdr:row>1</xdr:row>
                    <xdr:rowOff>85725</xdr:rowOff>
                  </from>
                  <to>
                    <xdr:col>10</xdr:col>
                    <xdr:colOff>85725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11">
    <tabColor theme="3" tint="0.59999389629810485"/>
  </sheetPr>
  <dimension ref="A1:V35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16.28515625" style="54" customWidth="1"/>
    <col min="4" max="4" width="17.85546875" style="54" customWidth="1"/>
    <col min="5" max="5" width="16.28515625" style="54" customWidth="1"/>
    <col min="6" max="6" width="21.140625" style="54" customWidth="1"/>
    <col min="7" max="7" width="16.28515625" style="54" customWidth="1"/>
    <col min="8" max="8" width="17.42578125" style="54" customWidth="1"/>
    <col min="9" max="9" width="20.28515625" style="54" customWidth="1"/>
    <col min="10" max="10" width="17.42578125" style="54" customWidth="1"/>
    <col min="11" max="11" width="14.28515625" style="54" customWidth="1"/>
    <col min="12" max="12" width="12.7109375" style="54" customWidth="1"/>
    <col min="13" max="13" width="11.42578125" style="54"/>
    <col min="14" max="14" width="13.28515625" style="54" customWidth="1"/>
    <col min="15" max="16" width="11.42578125" style="54"/>
    <col min="17" max="17" width="9.85546875" style="54" customWidth="1"/>
    <col min="18" max="18" width="7" style="54" customWidth="1"/>
    <col min="19" max="19" width="7.5703125" style="54" customWidth="1"/>
    <col min="20" max="20" width="10.42578125" style="54" customWidth="1"/>
    <col min="21" max="16384" width="11.42578125" style="54"/>
  </cols>
  <sheetData>
    <row r="1" spans="1:22" s="13" customFormat="1" x14ac:dyDescent="0.25">
      <c r="A1" s="13" t="s">
        <v>40</v>
      </c>
      <c r="B1" s="13" t="s">
        <v>642</v>
      </c>
    </row>
    <row r="2" spans="1:22" s="16" customFormat="1" ht="23.1" customHeight="1" x14ac:dyDescent="0.35">
      <c r="A2" s="18"/>
      <c r="C2" s="16" t="s">
        <v>638</v>
      </c>
      <c r="O2" s="85"/>
    </row>
    <row r="3" spans="1:22" s="20" customFormat="1" ht="23.1" customHeight="1" x14ac:dyDescent="0.25">
      <c r="A3" s="21"/>
      <c r="O3" s="85"/>
    </row>
    <row r="4" spans="1:22" s="20" customFormat="1" ht="23.1" customHeight="1" x14ac:dyDescent="0.25">
      <c r="A4" s="21"/>
      <c r="M4" s="24" t="s">
        <v>37</v>
      </c>
      <c r="O4" s="85"/>
    </row>
    <row r="5" spans="1:22" s="92" customFormat="1" ht="23.1" customHeight="1" x14ac:dyDescent="0.25">
      <c r="A5" s="19"/>
      <c r="C5" s="91" t="s">
        <v>45</v>
      </c>
      <c r="D5" s="83" t="s">
        <v>537</v>
      </c>
      <c r="E5" s="83"/>
      <c r="F5" s="83"/>
      <c r="G5" s="83"/>
      <c r="M5" s="91" t="str">
        <f>gModus</f>
        <v>Anwender</v>
      </c>
    </row>
    <row r="6" spans="1:22" s="49" customFormat="1" ht="15.75" x14ac:dyDescent="0.25">
      <c r="A6" s="13"/>
      <c r="D6" s="121"/>
      <c r="Q6" s="86"/>
      <c r="R6" s="54"/>
      <c r="S6" s="54"/>
      <c r="T6" s="54"/>
      <c r="U6" s="54"/>
      <c r="V6" s="54"/>
    </row>
    <row r="7" spans="1:22" s="49" customFormat="1" ht="15.75" x14ac:dyDescent="0.25">
      <c r="A7" s="13"/>
      <c r="C7" s="124" t="s">
        <v>560</v>
      </c>
      <c r="D7" s="156" t="s">
        <v>717</v>
      </c>
      <c r="E7" s="122"/>
      <c r="F7" s="122"/>
      <c r="G7" s="122"/>
      <c r="H7" s="122"/>
      <c r="I7" s="122"/>
      <c r="J7" s="123"/>
      <c r="Q7" s="86"/>
      <c r="R7" s="54"/>
      <c r="S7" s="54"/>
      <c r="T7" s="54"/>
      <c r="U7" s="54"/>
      <c r="V7" s="54"/>
    </row>
    <row r="8" spans="1:22" s="49" customFormat="1" ht="15.75" x14ac:dyDescent="0.25">
      <c r="A8" s="13"/>
      <c r="D8" s="121"/>
      <c r="Q8" s="86"/>
      <c r="R8" s="54"/>
      <c r="S8" s="54"/>
      <c r="T8" s="54"/>
      <c r="U8" s="54"/>
      <c r="V8" s="54"/>
    </row>
    <row r="9" spans="1:22" s="23" customFormat="1" x14ac:dyDescent="0.25">
      <c r="A9" s="13" t="s">
        <v>39</v>
      </c>
      <c r="C9" s="112" t="s">
        <v>453</v>
      </c>
      <c r="D9" s="137" t="s">
        <v>545</v>
      </c>
      <c r="E9" s="120"/>
      <c r="F9" s="116" t="s">
        <v>726</v>
      </c>
      <c r="Q9" s="86"/>
      <c r="R9" s="54"/>
      <c r="S9" s="54"/>
      <c r="T9" s="54"/>
      <c r="U9" s="54"/>
      <c r="V9" s="54"/>
    </row>
    <row r="10" spans="1:22" s="23" customFormat="1" ht="15.75" x14ac:dyDescent="0.25">
      <c r="A10" s="13" t="s">
        <v>39</v>
      </c>
      <c r="C10" s="112" t="s">
        <v>640</v>
      </c>
      <c r="D10" s="126" t="s">
        <v>583</v>
      </c>
      <c r="E10" s="111"/>
      <c r="G10" s="86" t="s">
        <v>711</v>
      </c>
      <c r="H10" s="49"/>
      <c r="I10" s="49"/>
      <c r="J10" s="49"/>
      <c r="K10" s="86" t="s">
        <v>727</v>
      </c>
      <c r="Q10" s="86"/>
      <c r="R10" s="54"/>
      <c r="S10" s="54"/>
      <c r="T10" s="54"/>
      <c r="U10" s="54"/>
      <c r="V10" s="54"/>
    </row>
    <row r="11" spans="1:22" s="23" customFormat="1" x14ac:dyDescent="0.25">
      <c r="A11" s="13" t="s">
        <v>39</v>
      </c>
      <c r="B11" s="54"/>
      <c r="E11" s="6"/>
      <c r="G11" s="86" t="s">
        <v>713</v>
      </c>
      <c r="I11" s="103"/>
      <c r="K11" s="86" t="s">
        <v>728</v>
      </c>
      <c r="Q11" s="86"/>
      <c r="R11" s="54"/>
      <c r="S11" s="54"/>
      <c r="T11" s="54"/>
      <c r="U11" s="54"/>
      <c r="V11" s="54"/>
    </row>
    <row r="12" spans="1:22" x14ac:dyDescent="0.25">
      <c r="A12" s="13" t="s">
        <v>39</v>
      </c>
      <c r="E12" s="6"/>
      <c r="G12" s="86" t="s">
        <v>715</v>
      </c>
      <c r="H12" s="23"/>
      <c r="I12" s="23"/>
      <c r="J12" s="23"/>
      <c r="K12" s="86" t="s">
        <v>721</v>
      </c>
      <c r="N12" s="23"/>
      <c r="Q12" s="86"/>
    </row>
    <row r="14" spans="1:22" x14ac:dyDescent="0.25">
      <c r="C14" s="110" t="s">
        <v>43</v>
      </c>
      <c r="D14" s="110" t="s">
        <v>498</v>
      </c>
      <c r="E14" s="110" t="s">
        <v>529</v>
      </c>
      <c r="F14" s="110" t="s">
        <v>525</v>
      </c>
      <c r="G14" s="110"/>
      <c r="H14" s="110"/>
      <c r="I14" s="110"/>
      <c r="J14" s="110"/>
      <c r="K14" s="110"/>
      <c r="L14" s="110"/>
      <c r="M14" s="110"/>
      <c r="N14" s="110"/>
    </row>
    <row r="15" spans="1:22" x14ac:dyDescent="0.25">
      <c r="C15" s="54" t="s">
        <v>565</v>
      </c>
      <c r="D15" s="54" t="s">
        <v>566</v>
      </c>
      <c r="E15" s="54" t="s">
        <v>567</v>
      </c>
      <c r="F15" s="54" t="s">
        <v>568</v>
      </c>
    </row>
    <row r="16" spans="1:22" x14ac:dyDescent="0.25">
      <c r="J16" s="86"/>
    </row>
    <row r="17" spans="10:14" x14ac:dyDescent="0.25">
      <c r="N17" s="127"/>
    </row>
    <row r="20" spans="10:14" x14ac:dyDescent="0.25">
      <c r="J20" s="36"/>
    </row>
    <row r="21" spans="10:14" x14ac:dyDescent="0.25">
      <c r="J21" s="36"/>
      <c r="N21" s="128"/>
    </row>
    <row r="23" spans="10:14" x14ac:dyDescent="0.25">
      <c r="J23" s="36"/>
      <c r="N23" s="128"/>
    </row>
    <row r="24" spans="10:14" x14ac:dyDescent="0.25">
      <c r="J24" s="129"/>
      <c r="K24" s="130"/>
      <c r="L24" s="130"/>
      <c r="M24" s="130"/>
      <c r="N24" s="131"/>
    </row>
    <row r="25" spans="10:14" x14ac:dyDescent="0.25">
      <c r="N25" s="131"/>
    </row>
    <row r="26" spans="10:14" x14ac:dyDescent="0.25">
      <c r="J26" s="129"/>
      <c r="K26" s="130"/>
      <c r="L26" s="130"/>
      <c r="M26" s="130"/>
      <c r="N26" s="132"/>
    </row>
    <row r="27" spans="10:14" x14ac:dyDescent="0.25">
      <c r="J27" s="130"/>
      <c r="K27" s="130"/>
      <c r="L27" s="130"/>
      <c r="M27" s="130"/>
      <c r="N27" s="131"/>
    </row>
    <row r="28" spans="10:14" x14ac:dyDescent="0.25">
      <c r="J28" s="134"/>
      <c r="K28" s="130"/>
      <c r="L28" s="130"/>
      <c r="M28" s="130"/>
      <c r="N28" s="132"/>
    </row>
    <row r="29" spans="10:14" x14ac:dyDescent="0.25">
      <c r="J29" s="36"/>
      <c r="N29" s="131"/>
    </row>
    <row r="30" spans="10:14" x14ac:dyDescent="0.25">
      <c r="N30" s="131"/>
    </row>
    <row r="31" spans="10:14" x14ac:dyDescent="0.25">
      <c r="N31" s="131"/>
    </row>
    <row r="32" spans="10:14" x14ac:dyDescent="0.25">
      <c r="J32" s="129"/>
      <c r="N32" s="133"/>
    </row>
    <row r="33" spans="10:14" x14ac:dyDescent="0.25">
      <c r="J33" s="36"/>
    </row>
    <row r="34" spans="10:14" x14ac:dyDescent="0.25">
      <c r="J34" s="36"/>
      <c r="N34" s="131"/>
    </row>
    <row r="35" spans="10:14" x14ac:dyDescent="0.25">
      <c r="J35" s="36"/>
    </row>
  </sheetData>
  <dataConsolidate link="1"/>
  <conditionalFormatting sqref="A14:F14 O14:XFD14">
    <cfRule type="cellIs" dxfId="6" priority="3" operator="equal">
      <formula>"FactoryID"</formula>
    </cfRule>
    <cfRule type="cellIs" dxfId="5" priority="4" operator="equal">
      <formula>"NameShort"</formula>
    </cfRule>
  </conditionalFormatting>
  <conditionalFormatting sqref="G14:N14">
    <cfRule type="cellIs" dxfId="4" priority="1" operator="equal">
      <formula>"FactoryID"</formula>
    </cfRule>
    <cfRule type="cellIs" dxfId="3" priority="2" operator="equal">
      <formula>"NameShort"</formula>
    </cfRule>
  </conditionalFormatting>
  <dataValidations count="3">
    <dataValidation type="list" allowBlank="1" showInputMessage="1" showErrorMessage="1" sqref="I12">
      <formula1>"&lt;key&gt;,&lt;keine&gt;,varchar,integer,bigint,money,dateTT.MM.YYYY"</formula1>
    </dataValidation>
    <dataValidation type="list" allowBlank="1" showInputMessage="1" showErrorMessage="1" sqref="D10">
      <formula1>"YES,NO"</formula1>
    </dataValidation>
    <dataValidation type="list" allowBlank="1" showInputMessage="1" showErrorMessage="1" sqref="C14:N14">
      <formula1>dFactories</formula1>
    </dataValidation>
  </dataValidations>
  <hyperlinks>
    <hyperlink ref="M5" location="xls2pfpl!A1" display="Blattvorlage!A1"/>
    <hyperlink ref="C5" location="PF_Uplink_Products!A1" display="Start"/>
    <hyperlink ref="D5" location="PF_Uplink_Products!A1" display="Uplink auslösen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409575</xdr:colOff>
                    <xdr:row>1</xdr:row>
                    <xdr:rowOff>85725</xdr:rowOff>
                  </from>
                  <to>
                    <xdr:col>10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1"/>
  <dimension ref="A1:L71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54" customWidth="1"/>
    <col min="3" max="3" width="18.7109375" style="54" customWidth="1"/>
    <col min="4" max="4" width="11.42578125" style="54" customWidth="1"/>
    <col min="5" max="5" width="16.140625" style="54" customWidth="1"/>
    <col min="6" max="6" width="11.42578125" style="54"/>
    <col min="7" max="7" width="22.5703125" style="54" customWidth="1"/>
    <col min="8" max="8" width="11.42578125" style="54"/>
    <col min="9" max="9" width="18.140625" style="54" customWidth="1"/>
    <col min="10" max="16384" width="11.42578125" style="54"/>
  </cols>
  <sheetData>
    <row r="1" spans="1:12" s="13" customFormat="1" x14ac:dyDescent="0.25">
      <c r="A1" s="13" t="s">
        <v>40</v>
      </c>
    </row>
    <row r="2" spans="1:12" s="16" customFormat="1" ht="23.1" customHeight="1" x14ac:dyDescent="0.35">
      <c r="A2" s="18"/>
      <c r="C2" s="16" t="s">
        <v>533</v>
      </c>
    </row>
    <row r="3" spans="1:12" s="20" customFormat="1" ht="23.1" customHeight="1" x14ac:dyDescent="0.25">
      <c r="A3" s="21"/>
    </row>
    <row r="4" spans="1:12" s="20" customFormat="1" ht="23.1" customHeight="1" x14ac:dyDescent="0.25">
      <c r="A4" s="21"/>
      <c r="L4" s="20" t="s">
        <v>37</v>
      </c>
    </row>
    <row r="5" spans="1:12" s="92" customFormat="1" ht="23.1" customHeight="1" x14ac:dyDescent="0.25">
      <c r="A5" s="19"/>
      <c r="C5" s="91" t="s">
        <v>45</v>
      </c>
      <c r="L5" s="91" t="str">
        <f>gModus</f>
        <v>Anwender</v>
      </c>
    </row>
    <row r="6" spans="1:12" s="49" customFormat="1" ht="15.75" x14ac:dyDescent="0.25">
      <c r="A6" s="14"/>
    </row>
    <row r="7" spans="1:12" s="23" customFormat="1" x14ac:dyDescent="0.25">
      <c r="A7" s="13"/>
    </row>
    <row r="8" spans="1:12" s="23" customFormat="1" x14ac:dyDescent="0.25">
      <c r="A8" s="13"/>
    </row>
    <row r="9" spans="1:12" x14ac:dyDescent="0.25">
      <c r="C9" s="54" t="s">
        <v>575</v>
      </c>
    </row>
    <row r="11" spans="1:12" x14ac:dyDescent="0.25">
      <c r="C11" s="10" t="s">
        <v>497</v>
      </c>
      <c r="E11" s="10" t="s">
        <v>574</v>
      </c>
      <c r="G11" s="10" t="s">
        <v>636</v>
      </c>
      <c r="I11" s="10" t="s">
        <v>639</v>
      </c>
    </row>
    <row r="12" spans="1:12" x14ac:dyDescent="0.25">
      <c r="C12" s="106" t="s">
        <v>42</v>
      </c>
      <c r="E12" s="106" t="s">
        <v>573</v>
      </c>
      <c r="G12" s="106" t="s">
        <v>562</v>
      </c>
      <c r="I12" s="106" t="s">
        <v>43</v>
      </c>
    </row>
    <row r="13" spans="1:12" x14ac:dyDescent="0.25">
      <c r="C13" s="107" t="s">
        <v>562</v>
      </c>
      <c r="E13" s="107" t="s">
        <v>68</v>
      </c>
      <c r="G13" s="107" t="s">
        <v>43</v>
      </c>
      <c r="I13" s="107" t="s">
        <v>498</v>
      </c>
    </row>
    <row r="14" spans="1:12" x14ac:dyDescent="0.25">
      <c r="C14" s="107" t="s">
        <v>43</v>
      </c>
      <c r="E14" s="107" t="s">
        <v>42</v>
      </c>
      <c r="G14" s="107" t="s">
        <v>498</v>
      </c>
      <c r="I14" s="107" t="s">
        <v>538</v>
      </c>
    </row>
    <row r="15" spans="1:12" x14ac:dyDescent="0.25">
      <c r="C15" s="107" t="s">
        <v>538</v>
      </c>
      <c r="E15" s="107" t="s">
        <v>562</v>
      </c>
      <c r="G15" s="107" t="s">
        <v>538</v>
      </c>
      <c r="I15" s="107" t="s">
        <v>527</v>
      </c>
    </row>
    <row r="16" spans="1:12" x14ac:dyDescent="0.25">
      <c r="C16" s="107" t="s">
        <v>499</v>
      </c>
      <c r="E16" s="107" t="s">
        <v>43</v>
      </c>
      <c r="G16" s="107" t="s">
        <v>527</v>
      </c>
      <c r="I16" s="107" t="s">
        <v>529</v>
      </c>
    </row>
    <row r="17" spans="3:9" x14ac:dyDescent="0.25">
      <c r="C17" s="107" t="s">
        <v>498</v>
      </c>
      <c r="E17" s="107" t="s">
        <v>538</v>
      </c>
      <c r="G17" s="107" t="s">
        <v>529</v>
      </c>
      <c r="I17" s="107" t="s">
        <v>530</v>
      </c>
    </row>
    <row r="18" spans="3:9" x14ac:dyDescent="0.25">
      <c r="C18" s="107" t="s">
        <v>527</v>
      </c>
      <c r="E18" s="107" t="s">
        <v>576</v>
      </c>
      <c r="G18" s="107" t="s">
        <v>530</v>
      </c>
      <c r="I18" s="107" t="s">
        <v>525</v>
      </c>
    </row>
    <row r="19" spans="3:9" x14ac:dyDescent="0.25">
      <c r="C19" s="107" t="s">
        <v>525</v>
      </c>
      <c r="E19" s="107" t="s">
        <v>577</v>
      </c>
      <c r="G19" s="107" t="s">
        <v>525</v>
      </c>
      <c r="I19" s="108" t="s">
        <v>531</v>
      </c>
    </row>
    <row r="20" spans="3:9" x14ac:dyDescent="0.25">
      <c r="C20" s="109" t="s">
        <v>528</v>
      </c>
      <c r="E20" s="107" t="s">
        <v>578</v>
      </c>
      <c r="G20" s="107" t="s">
        <v>531</v>
      </c>
    </row>
    <row r="21" spans="3:9" x14ac:dyDescent="0.25">
      <c r="C21" s="109" t="s">
        <v>529</v>
      </c>
      <c r="E21" s="108" t="s">
        <v>579</v>
      </c>
      <c r="G21" s="107" t="s">
        <v>585</v>
      </c>
    </row>
    <row r="22" spans="3:9" x14ac:dyDescent="0.25">
      <c r="C22" s="109" t="s">
        <v>530</v>
      </c>
      <c r="G22" s="107" t="s">
        <v>586</v>
      </c>
    </row>
    <row r="23" spans="3:9" x14ac:dyDescent="0.25">
      <c r="C23" s="109" t="s">
        <v>531</v>
      </c>
      <c r="G23" s="107" t="s">
        <v>587</v>
      </c>
    </row>
    <row r="24" spans="3:9" x14ac:dyDescent="0.25">
      <c r="C24" s="107" t="s">
        <v>526</v>
      </c>
      <c r="G24" s="107" t="s">
        <v>588</v>
      </c>
    </row>
    <row r="25" spans="3:9" x14ac:dyDescent="0.25">
      <c r="C25" s="109" t="s">
        <v>532</v>
      </c>
      <c r="G25" s="107" t="s">
        <v>589</v>
      </c>
    </row>
    <row r="26" spans="3:9" x14ac:dyDescent="0.25">
      <c r="C26" s="107" t="s">
        <v>500</v>
      </c>
      <c r="G26" s="107" t="s">
        <v>590</v>
      </c>
    </row>
    <row r="27" spans="3:9" x14ac:dyDescent="0.25">
      <c r="C27" s="107" t="s">
        <v>501</v>
      </c>
      <c r="G27" s="107" t="s">
        <v>591</v>
      </c>
    </row>
    <row r="28" spans="3:9" x14ac:dyDescent="0.25">
      <c r="C28" s="107" t="s">
        <v>502</v>
      </c>
      <c r="G28" s="107" t="s">
        <v>592</v>
      </c>
    </row>
    <row r="29" spans="3:9" x14ac:dyDescent="0.25">
      <c r="C29" s="107" t="s">
        <v>503</v>
      </c>
      <c r="G29" s="107" t="s">
        <v>593</v>
      </c>
    </row>
    <row r="30" spans="3:9" x14ac:dyDescent="0.25">
      <c r="C30" s="107" t="s">
        <v>504</v>
      </c>
      <c r="G30" s="107" t="s">
        <v>594</v>
      </c>
    </row>
    <row r="31" spans="3:9" x14ac:dyDescent="0.25">
      <c r="C31" s="107" t="s">
        <v>505</v>
      </c>
      <c r="G31" s="107" t="s">
        <v>595</v>
      </c>
    </row>
    <row r="32" spans="3:9" x14ac:dyDescent="0.25">
      <c r="C32" s="107" t="s">
        <v>506</v>
      </c>
      <c r="G32" s="107" t="s">
        <v>596</v>
      </c>
    </row>
    <row r="33" spans="3:7" x14ac:dyDescent="0.25">
      <c r="C33" s="107" t="s">
        <v>507</v>
      </c>
      <c r="G33" s="107" t="s">
        <v>597</v>
      </c>
    </row>
    <row r="34" spans="3:7" x14ac:dyDescent="0.25">
      <c r="C34" s="107" t="s">
        <v>508</v>
      </c>
      <c r="G34" s="107" t="s">
        <v>598</v>
      </c>
    </row>
    <row r="35" spans="3:7" x14ac:dyDescent="0.25">
      <c r="C35" s="107" t="s">
        <v>509</v>
      </c>
      <c r="G35" s="107" t="s">
        <v>599</v>
      </c>
    </row>
    <row r="36" spans="3:7" x14ac:dyDescent="0.25">
      <c r="C36" s="107" t="s">
        <v>510</v>
      </c>
      <c r="G36" s="107" t="s">
        <v>600</v>
      </c>
    </row>
    <row r="37" spans="3:7" x14ac:dyDescent="0.25">
      <c r="C37" s="107" t="s">
        <v>511</v>
      </c>
      <c r="G37" s="107" t="s">
        <v>601</v>
      </c>
    </row>
    <row r="38" spans="3:7" x14ac:dyDescent="0.25">
      <c r="C38" s="107" t="s">
        <v>512</v>
      </c>
      <c r="G38" s="107" t="s">
        <v>602</v>
      </c>
    </row>
    <row r="39" spans="3:7" x14ac:dyDescent="0.25">
      <c r="C39" s="107" t="s">
        <v>513</v>
      </c>
      <c r="G39" s="107" t="s">
        <v>603</v>
      </c>
    </row>
    <row r="40" spans="3:7" x14ac:dyDescent="0.25">
      <c r="C40" s="107" t="s">
        <v>514</v>
      </c>
      <c r="G40" s="107" t="s">
        <v>604</v>
      </c>
    </row>
    <row r="41" spans="3:7" x14ac:dyDescent="0.25">
      <c r="C41" s="107" t="s">
        <v>515</v>
      </c>
      <c r="G41" s="107" t="s">
        <v>605</v>
      </c>
    </row>
    <row r="42" spans="3:7" x14ac:dyDescent="0.25">
      <c r="C42" s="107" t="s">
        <v>516</v>
      </c>
      <c r="G42" s="107" t="s">
        <v>606</v>
      </c>
    </row>
    <row r="43" spans="3:7" x14ac:dyDescent="0.25">
      <c r="C43" s="107" t="s">
        <v>517</v>
      </c>
      <c r="G43" s="107" t="s">
        <v>607</v>
      </c>
    </row>
    <row r="44" spans="3:7" x14ac:dyDescent="0.25">
      <c r="C44" s="107" t="s">
        <v>518</v>
      </c>
      <c r="G44" s="107" t="s">
        <v>608</v>
      </c>
    </row>
    <row r="45" spans="3:7" x14ac:dyDescent="0.25">
      <c r="C45" s="107" t="s">
        <v>519</v>
      </c>
      <c r="G45" s="107" t="s">
        <v>609</v>
      </c>
    </row>
    <row r="46" spans="3:7" x14ac:dyDescent="0.25">
      <c r="C46" s="107" t="s">
        <v>520</v>
      </c>
      <c r="G46" s="107" t="s">
        <v>610</v>
      </c>
    </row>
    <row r="47" spans="3:7" x14ac:dyDescent="0.25">
      <c r="C47" s="107" t="s">
        <v>521</v>
      </c>
      <c r="G47" s="107" t="s">
        <v>611</v>
      </c>
    </row>
    <row r="48" spans="3:7" x14ac:dyDescent="0.25">
      <c r="C48" s="107" t="s">
        <v>522</v>
      </c>
      <c r="G48" s="107" t="s">
        <v>612</v>
      </c>
    </row>
    <row r="49" spans="3:7" x14ac:dyDescent="0.25">
      <c r="C49" s="107" t="s">
        <v>523</v>
      </c>
      <c r="G49" s="107" t="s">
        <v>613</v>
      </c>
    </row>
    <row r="50" spans="3:7" x14ac:dyDescent="0.25">
      <c r="C50" s="108" t="s">
        <v>524</v>
      </c>
      <c r="G50" s="107" t="s">
        <v>614</v>
      </c>
    </row>
    <row r="51" spans="3:7" x14ac:dyDescent="0.25">
      <c r="G51" s="107" t="s">
        <v>615</v>
      </c>
    </row>
    <row r="52" spans="3:7" x14ac:dyDescent="0.25">
      <c r="G52" s="107" t="s">
        <v>616</v>
      </c>
    </row>
    <row r="53" spans="3:7" x14ac:dyDescent="0.25">
      <c r="G53" s="107" t="s">
        <v>617</v>
      </c>
    </row>
    <row r="54" spans="3:7" x14ac:dyDescent="0.25">
      <c r="G54" s="107" t="s">
        <v>618</v>
      </c>
    </row>
    <row r="55" spans="3:7" x14ac:dyDescent="0.25">
      <c r="G55" s="107" t="s">
        <v>619</v>
      </c>
    </row>
    <row r="56" spans="3:7" x14ac:dyDescent="0.25">
      <c r="G56" s="107" t="s">
        <v>620</v>
      </c>
    </row>
    <row r="57" spans="3:7" x14ac:dyDescent="0.25">
      <c r="G57" s="107" t="s">
        <v>621</v>
      </c>
    </row>
    <row r="58" spans="3:7" x14ac:dyDescent="0.25">
      <c r="G58" s="107" t="s">
        <v>622</v>
      </c>
    </row>
    <row r="59" spans="3:7" x14ac:dyDescent="0.25">
      <c r="G59" s="107" t="s">
        <v>623</v>
      </c>
    </row>
    <row r="60" spans="3:7" x14ac:dyDescent="0.25">
      <c r="G60" s="107" t="s">
        <v>624</v>
      </c>
    </row>
    <row r="61" spans="3:7" x14ac:dyDescent="0.25">
      <c r="G61" s="107" t="s">
        <v>625</v>
      </c>
    </row>
    <row r="62" spans="3:7" x14ac:dyDescent="0.25">
      <c r="G62" s="107" t="s">
        <v>626</v>
      </c>
    </row>
    <row r="63" spans="3:7" x14ac:dyDescent="0.25">
      <c r="G63" s="107" t="s">
        <v>627</v>
      </c>
    </row>
    <row r="64" spans="3:7" x14ac:dyDescent="0.25">
      <c r="G64" s="107" t="s">
        <v>628</v>
      </c>
    </row>
    <row r="65" spans="7:7" x14ac:dyDescent="0.25">
      <c r="G65" s="107" t="s">
        <v>629</v>
      </c>
    </row>
    <row r="66" spans="7:7" x14ac:dyDescent="0.25">
      <c r="G66" s="107" t="s">
        <v>630</v>
      </c>
    </row>
    <row r="67" spans="7:7" x14ac:dyDescent="0.25">
      <c r="G67" s="107" t="s">
        <v>631</v>
      </c>
    </row>
    <row r="68" spans="7:7" x14ac:dyDescent="0.25">
      <c r="G68" s="107" t="s">
        <v>632</v>
      </c>
    </row>
    <row r="69" spans="7:7" x14ac:dyDescent="0.25">
      <c r="G69" s="107" t="s">
        <v>633</v>
      </c>
    </row>
    <row r="70" spans="7:7" x14ac:dyDescent="0.25">
      <c r="G70" s="107" t="s">
        <v>634</v>
      </c>
    </row>
    <row r="71" spans="7:7" x14ac:dyDescent="0.25">
      <c r="G71" s="108" t="s">
        <v>635</v>
      </c>
    </row>
  </sheetData>
  <dataConsolidate/>
  <hyperlinks>
    <hyperlink ref="L5" location="Blattvorlage!A1" display="Blattvorlage!A1"/>
    <hyperlink ref="C5" location="Blattvorlage!A1" display="Start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Excel_Standardinteraktion_aktivieren">
                <anchor moveWithCells="1" sizeWithCells="1">
                  <from>
                    <xdr:col>9</xdr:col>
                    <xdr:colOff>619125</xdr:colOff>
                    <xdr:row>1</xdr:row>
                    <xdr:rowOff>104775</xdr:rowOff>
                  </from>
                  <to>
                    <xdr:col>10</xdr:col>
                    <xdr:colOff>685800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"/>
  <dimension ref="A1:L6"/>
  <sheetViews>
    <sheetView workbookViewId="0"/>
  </sheetViews>
  <sheetFormatPr baseColWidth="10" defaultRowHeight="15" x14ac:dyDescent="0.25"/>
  <cols>
    <col min="1" max="1" width="3.28515625" style="13" customWidth="1"/>
    <col min="2" max="2" width="2.42578125" customWidth="1"/>
    <col min="3" max="3" width="15.85546875" customWidth="1"/>
    <col min="4" max="4" width="11.42578125" customWidth="1"/>
  </cols>
  <sheetData>
    <row r="1" spans="1:12" s="13" customFormat="1" x14ac:dyDescent="0.25">
      <c r="A1" s="13" t="s">
        <v>40</v>
      </c>
      <c r="B1" s="13" t="s">
        <v>540</v>
      </c>
    </row>
    <row r="2" spans="1:12" s="16" customFormat="1" ht="23.1" customHeight="1" x14ac:dyDescent="0.35">
      <c r="A2" s="18"/>
      <c r="C2" s="16" t="s">
        <v>15</v>
      </c>
    </row>
    <row r="3" spans="1:12" s="20" customFormat="1" ht="23.1" customHeight="1" x14ac:dyDescent="0.25">
      <c r="A3" s="21"/>
    </row>
    <row r="4" spans="1:12" s="20" customFormat="1" ht="23.1" customHeight="1" x14ac:dyDescent="0.25">
      <c r="A4" s="21"/>
      <c r="L4" s="24" t="s">
        <v>37</v>
      </c>
    </row>
    <row r="5" spans="1:12" s="17" customFormat="1" ht="23.1" customHeight="1" x14ac:dyDescent="0.25">
      <c r="A5" s="19"/>
      <c r="C5" s="79" t="s">
        <v>45</v>
      </c>
      <c r="L5" s="38" t="str">
        <f>gModus</f>
        <v>Anwender</v>
      </c>
    </row>
    <row r="6" spans="1:12" s="12" customFormat="1" ht="15.75" x14ac:dyDescent="0.25">
      <c r="A6" s="14"/>
    </row>
  </sheetData>
  <dataConsolidate link="1"/>
  <hyperlinks>
    <hyperlink ref="L5" location="Blattvorlage!A1" display="Blattvorlage!A1"/>
    <hyperlink ref="C5" location="Blattvorlage!A1" display="Start"/>
  </hyperlinks>
  <pageMargins left="0.7" right="0.7" top="0.78740157499999996" bottom="0.78740157499999996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Excel_Standardinteraktion_aktivieren">
                <anchor moveWithCells="1" sizeWithCells="1">
                  <from>
                    <xdr:col>13</xdr:col>
                    <xdr:colOff>104775</xdr:colOff>
                    <xdr:row>1</xdr:row>
                    <xdr:rowOff>85725</xdr:rowOff>
                  </from>
                  <to>
                    <xdr:col>14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_Blattvorlage7"/>
  <dimension ref="A1:S186"/>
  <sheetViews>
    <sheetView workbookViewId="0"/>
  </sheetViews>
  <sheetFormatPr baseColWidth="10" defaultRowHeight="15" x14ac:dyDescent="0.25"/>
  <cols>
    <col min="1" max="1" width="3.28515625" style="13" customWidth="1"/>
    <col min="2" max="2" width="2.42578125" style="28" customWidth="1"/>
    <col min="3" max="3" width="15" style="28" customWidth="1"/>
    <col min="4" max="4" width="42.7109375" style="28" customWidth="1"/>
    <col min="5" max="5" width="10.42578125" style="28" customWidth="1"/>
    <col min="6" max="6" width="19.28515625" style="28" customWidth="1"/>
    <col min="7" max="18" width="9.28515625" style="28" customWidth="1"/>
    <col min="19" max="19" width="15.5703125" style="28" customWidth="1"/>
    <col min="20" max="16384" width="11.42578125" style="28"/>
  </cols>
  <sheetData>
    <row r="1" spans="1:19" s="13" customFormat="1" x14ac:dyDescent="0.25">
      <c r="A1" s="13" t="s">
        <v>40</v>
      </c>
      <c r="B1" s="13" t="s">
        <v>70</v>
      </c>
    </row>
    <row r="2" spans="1:19" s="16" customFormat="1" ht="23.1" customHeight="1" x14ac:dyDescent="0.35">
      <c r="A2" s="18"/>
      <c r="C2" s="16" t="str">
        <f>VLOOKUP("Pivot_SH_H1",i18n[],i18nIndex,FALSE)</f>
        <v>Projektübergreifende Auswertungen</v>
      </c>
    </row>
    <row r="3" spans="1:19" s="20" customFormat="1" ht="23.1" customHeight="1" x14ac:dyDescent="0.25">
      <c r="A3" s="21"/>
    </row>
    <row r="4" spans="1:19" s="20" customFormat="1" ht="23.1" customHeight="1" x14ac:dyDescent="0.25">
      <c r="A4" s="21"/>
      <c r="L4" s="24" t="s">
        <v>37</v>
      </c>
    </row>
    <row r="5" spans="1:19" s="29" customFormat="1" ht="23.1" customHeight="1" x14ac:dyDescent="0.25">
      <c r="A5" s="19"/>
      <c r="C5" s="30" t="s">
        <v>45</v>
      </c>
      <c r="L5" s="38" t="str">
        <f>gModus</f>
        <v>Anwender</v>
      </c>
    </row>
    <row r="6" spans="1:19" s="12" customFormat="1" ht="15.75" x14ac:dyDescent="0.25">
      <c r="A6" s="14"/>
    </row>
    <row r="7" spans="1:19" x14ac:dyDescent="0.25">
      <c r="C7" s="31" t="s">
        <v>44</v>
      </c>
      <c r="D7" s="54" t="s">
        <v>87</v>
      </c>
    </row>
    <row r="8" spans="1:19" x14ac:dyDescent="0.25">
      <c r="C8" s="31" t="s">
        <v>67</v>
      </c>
      <c r="D8" s="54" t="s">
        <v>46</v>
      </c>
    </row>
    <row r="9" spans="1:19" x14ac:dyDescent="0.25">
      <c r="C9" s="31" t="s">
        <v>63</v>
      </c>
      <c r="D9" s="54" t="s">
        <v>46</v>
      </c>
    </row>
    <row r="10" spans="1:19" x14ac:dyDescent="0.25">
      <c r="C10" s="31" t="s">
        <v>65</v>
      </c>
      <c r="D10" s="15">
        <v>2014</v>
      </c>
    </row>
    <row r="12" spans="1:19" x14ac:dyDescent="0.25">
      <c r="C12" s="31" t="s">
        <v>69</v>
      </c>
      <c r="D12"/>
      <c r="E12"/>
      <c r="F12"/>
      <c r="G12" s="31" t="s">
        <v>66</v>
      </c>
      <c r="H12"/>
      <c r="I12"/>
      <c r="J12"/>
      <c r="K12"/>
      <c r="L12"/>
      <c r="M12"/>
      <c r="N12"/>
      <c r="O12"/>
      <c r="P12"/>
      <c r="Q12"/>
      <c r="R12"/>
      <c r="S12"/>
    </row>
    <row r="13" spans="1:19" x14ac:dyDescent="0.25">
      <c r="C13" s="31" t="s">
        <v>42</v>
      </c>
      <c r="D13" s="31" t="s">
        <v>47</v>
      </c>
      <c r="E13" s="31" t="s">
        <v>68</v>
      </c>
      <c r="F13" s="31" t="s">
        <v>48</v>
      </c>
      <c r="G13" s="54">
        <v>1</v>
      </c>
      <c r="H13" s="54">
        <v>2</v>
      </c>
      <c r="I13" s="54">
        <v>3</v>
      </c>
      <c r="J13" s="54">
        <v>4</v>
      </c>
      <c r="K13" s="54">
        <v>5</v>
      </c>
      <c r="L13" s="54">
        <v>6</v>
      </c>
      <c r="M13" s="54">
        <v>7</v>
      </c>
      <c r="N13" s="54">
        <v>8</v>
      </c>
      <c r="O13" s="54">
        <v>9</v>
      </c>
      <c r="P13" s="54">
        <v>10</v>
      </c>
      <c r="Q13" s="54">
        <v>11</v>
      </c>
      <c r="R13" s="54">
        <v>12</v>
      </c>
      <c r="S13" s="54" t="s">
        <v>82</v>
      </c>
    </row>
    <row r="14" spans="1:19" x14ac:dyDescent="0.25">
      <c r="C14" s="54" t="s">
        <v>91</v>
      </c>
      <c r="D14"/>
      <c r="E14"/>
      <c r="F14"/>
      <c r="G14" s="53">
        <v>2</v>
      </c>
      <c r="H14" s="53">
        <v>2</v>
      </c>
      <c r="I14" s="53">
        <v>2</v>
      </c>
      <c r="J14" s="53">
        <v>2</v>
      </c>
      <c r="K14" s="53">
        <v>2</v>
      </c>
      <c r="L14" s="53">
        <v>2</v>
      </c>
      <c r="M14" s="53">
        <v>2</v>
      </c>
      <c r="N14" s="53">
        <v>2</v>
      </c>
      <c r="O14" s="53">
        <v>2</v>
      </c>
      <c r="P14" s="53">
        <v>2</v>
      </c>
      <c r="Q14" s="53">
        <v>2</v>
      </c>
      <c r="R14" s="53">
        <v>2</v>
      </c>
      <c r="S14" s="53">
        <v>24</v>
      </c>
    </row>
    <row r="15" spans="1:19" x14ac:dyDescent="0.25">
      <c r="C15" s="54" t="s">
        <v>92</v>
      </c>
      <c r="D15"/>
      <c r="E15"/>
      <c r="F15"/>
      <c r="G15" s="53">
        <v>6</v>
      </c>
      <c r="H15" s="53">
        <v>6</v>
      </c>
      <c r="I15" s="53">
        <v>6</v>
      </c>
      <c r="J15" s="53">
        <v>6</v>
      </c>
      <c r="K15" s="53">
        <v>6</v>
      </c>
      <c r="L15" s="53">
        <v>6</v>
      </c>
      <c r="M15" s="53">
        <v>6</v>
      </c>
      <c r="N15" s="53">
        <v>6</v>
      </c>
      <c r="O15" s="53">
        <v>6</v>
      </c>
      <c r="P15" s="53">
        <v>6</v>
      </c>
      <c r="Q15" s="53">
        <v>6</v>
      </c>
      <c r="R15" s="53">
        <v>6</v>
      </c>
      <c r="S15" s="53">
        <v>72</v>
      </c>
    </row>
    <row r="16" spans="1:19" x14ac:dyDescent="0.25">
      <c r="C16" s="54" t="s">
        <v>88</v>
      </c>
      <c r="D16"/>
      <c r="E16"/>
      <c r="F16"/>
      <c r="G16" s="53">
        <v>1</v>
      </c>
      <c r="H16" s="53">
        <v>1</v>
      </c>
      <c r="I16" s="53">
        <v>1</v>
      </c>
      <c r="J16" s="53">
        <v>1</v>
      </c>
      <c r="K16" s="53">
        <v>1</v>
      </c>
      <c r="L16" s="53">
        <v>1</v>
      </c>
      <c r="M16" s="53">
        <v>1</v>
      </c>
      <c r="N16" s="53">
        <v>1</v>
      </c>
      <c r="O16" s="53">
        <v>1</v>
      </c>
      <c r="P16" s="53">
        <v>1</v>
      </c>
      <c r="Q16" s="53">
        <v>1</v>
      </c>
      <c r="R16" s="53">
        <v>1</v>
      </c>
      <c r="S16" s="53">
        <v>12</v>
      </c>
    </row>
    <row r="17" spans="3:19" x14ac:dyDescent="0.25">
      <c r="C17" s="54" t="s">
        <v>94</v>
      </c>
      <c r="D17"/>
      <c r="E17"/>
      <c r="F17"/>
      <c r="G17" s="53">
        <v>4</v>
      </c>
      <c r="H17" s="53">
        <v>4</v>
      </c>
      <c r="I17" s="53">
        <v>4</v>
      </c>
      <c r="J17" s="53">
        <v>4</v>
      </c>
      <c r="K17" s="53">
        <v>4</v>
      </c>
      <c r="L17" s="53">
        <v>4</v>
      </c>
      <c r="M17" s="53">
        <v>4</v>
      </c>
      <c r="N17" s="53">
        <v>4</v>
      </c>
      <c r="O17" s="53">
        <v>4</v>
      </c>
      <c r="P17" s="53">
        <v>4</v>
      </c>
      <c r="Q17" s="53">
        <v>4</v>
      </c>
      <c r="R17" s="53">
        <v>4</v>
      </c>
      <c r="S17" s="53">
        <v>48</v>
      </c>
    </row>
    <row r="18" spans="3:19" x14ac:dyDescent="0.25">
      <c r="C18" s="54" t="s">
        <v>96</v>
      </c>
      <c r="D18"/>
      <c r="E18"/>
      <c r="F18"/>
      <c r="G18" s="53">
        <v>7</v>
      </c>
      <c r="H18" s="53">
        <v>7</v>
      </c>
      <c r="I18" s="53">
        <v>7</v>
      </c>
      <c r="J18" s="53">
        <v>7</v>
      </c>
      <c r="K18" s="53">
        <v>7</v>
      </c>
      <c r="L18" s="53">
        <v>7</v>
      </c>
      <c r="M18" s="53">
        <v>7</v>
      </c>
      <c r="N18" s="53">
        <v>7</v>
      </c>
      <c r="O18" s="53">
        <v>7</v>
      </c>
      <c r="P18" s="53">
        <v>7</v>
      </c>
      <c r="Q18" s="53">
        <v>7</v>
      </c>
      <c r="R18" s="53">
        <v>7</v>
      </c>
      <c r="S18" s="53">
        <v>84</v>
      </c>
    </row>
    <row r="19" spans="3:19" x14ac:dyDescent="0.25">
      <c r="C19" s="54" t="s">
        <v>95</v>
      </c>
      <c r="D19"/>
      <c r="E19"/>
      <c r="F19"/>
      <c r="G19" s="53">
        <v>5</v>
      </c>
      <c r="H19" s="53">
        <v>5</v>
      </c>
      <c r="I19" s="53">
        <v>5</v>
      </c>
      <c r="J19" s="53">
        <v>5</v>
      </c>
      <c r="K19" s="53">
        <v>5</v>
      </c>
      <c r="L19" s="53">
        <v>5</v>
      </c>
      <c r="M19" s="53">
        <v>5</v>
      </c>
      <c r="N19" s="53">
        <v>5</v>
      </c>
      <c r="O19" s="53">
        <v>5</v>
      </c>
      <c r="P19" s="53">
        <v>5</v>
      </c>
      <c r="Q19" s="53">
        <v>5</v>
      </c>
      <c r="R19" s="53">
        <v>5</v>
      </c>
      <c r="S19" s="53">
        <v>60</v>
      </c>
    </row>
    <row r="20" spans="3:19" x14ac:dyDescent="0.25">
      <c r="C20" s="54" t="s">
        <v>102</v>
      </c>
      <c r="D20"/>
      <c r="E20"/>
      <c r="F20"/>
      <c r="G20" s="53">
        <v>11</v>
      </c>
      <c r="H20" s="53">
        <v>11</v>
      </c>
      <c r="I20" s="53">
        <v>11</v>
      </c>
      <c r="J20" s="53">
        <v>11</v>
      </c>
      <c r="K20" s="53">
        <v>11</v>
      </c>
      <c r="L20" s="53">
        <v>11</v>
      </c>
      <c r="M20" s="53">
        <v>11</v>
      </c>
      <c r="N20" s="53">
        <v>11</v>
      </c>
      <c r="O20" s="53">
        <v>11</v>
      </c>
      <c r="P20" s="53">
        <v>11</v>
      </c>
      <c r="Q20" s="53">
        <v>11</v>
      </c>
      <c r="R20" s="53">
        <v>11</v>
      </c>
      <c r="S20" s="53">
        <v>132</v>
      </c>
    </row>
    <row r="21" spans="3:19" x14ac:dyDescent="0.25">
      <c r="C21" s="54" t="s">
        <v>89</v>
      </c>
      <c r="D21" s="54" t="s">
        <v>90</v>
      </c>
      <c r="E21" s="54" t="s">
        <v>85</v>
      </c>
      <c r="F21" s="54" t="s">
        <v>84</v>
      </c>
      <c r="G21" s="53">
        <v>3</v>
      </c>
      <c r="H21" s="53">
        <v>3</v>
      </c>
      <c r="I21" s="53">
        <v>3</v>
      </c>
      <c r="J21" s="53">
        <v>3</v>
      </c>
      <c r="K21" s="53">
        <v>3</v>
      </c>
      <c r="L21" s="53">
        <v>3</v>
      </c>
      <c r="M21" s="53">
        <v>3</v>
      </c>
      <c r="N21" s="53">
        <v>3</v>
      </c>
      <c r="O21" s="53">
        <v>3</v>
      </c>
      <c r="P21" s="53">
        <v>3</v>
      </c>
      <c r="Q21" s="53">
        <v>3</v>
      </c>
      <c r="R21" s="53">
        <v>3</v>
      </c>
      <c r="S21" s="53">
        <v>36</v>
      </c>
    </row>
    <row r="22" spans="3:19" x14ac:dyDescent="0.25">
      <c r="C22" s="54" t="s">
        <v>97</v>
      </c>
      <c r="D22" s="54" t="s">
        <v>98</v>
      </c>
      <c r="E22" s="54" t="s">
        <v>85</v>
      </c>
      <c r="F22" s="54" t="s">
        <v>84</v>
      </c>
      <c r="G22" s="53">
        <v>8</v>
      </c>
      <c r="H22" s="53">
        <v>8</v>
      </c>
      <c r="I22" s="53">
        <v>8</v>
      </c>
      <c r="J22" s="53">
        <v>8</v>
      </c>
      <c r="K22" s="53">
        <v>8</v>
      </c>
      <c r="L22" s="53">
        <v>8</v>
      </c>
      <c r="M22" s="53">
        <v>8</v>
      </c>
      <c r="N22" s="53">
        <v>8</v>
      </c>
      <c r="O22" s="53">
        <v>8</v>
      </c>
      <c r="P22" s="53">
        <v>8</v>
      </c>
      <c r="Q22" s="53">
        <v>8</v>
      </c>
      <c r="R22" s="53">
        <v>8</v>
      </c>
      <c r="S22" s="53">
        <v>96</v>
      </c>
    </row>
    <row r="23" spans="3:19" x14ac:dyDescent="0.25">
      <c r="C23" s="54" t="s">
        <v>99</v>
      </c>
      <c r="D23" s="54" t="s">
        <v>100</v>
      </c>
      <c r="E23" s="54" t="s">
        <v>85</v>
      </c>
      <c r="F23" s="54" t="s">
        <v>84</v>
      </c>
      <c r="G23" s="53">
        <v>9</v>
      </c>
      <c r="H23" s="53">
        <v>9</v>
      </c>
      <c r="I23" s="53">
        <v>9</v>
      </c>
      <c r="J23" s="53">
        <v>9</v>
      </c>
      <c r="K23" s="53">
        <v>9</v>
      </c>
      <c r="L23" s="53">
        <v>9</v>
      </c>
      <c r="M23" s="53">
        <v>9</v>
      </c>
      <c r="N23" s="53">
        <v>9</v>
      </c>
      <c r="O23" s="53">
        <v>9</v>
      </c>
      <c r="P23" s="53">
        <v>9</v>
      </c>
      <c r="Q23" s="53">
        <v>9</v>
      </c>
      <c r="R23" s="53">
        <v>9</v>
      </c>
      <c r="S23" s="53">
        <v>108</v>
      </c>
    </row>
    <row r="24" spans="3:19" x14ac:dyDescent="0.25">
      <c r="C24" s="54" t="s">
        <v>93</v>
      </c>
      <c r="D24" s="54" t="s">
        <v>101</v>
      </c>
      <c r="E24" s="54" t="s">
        <v>85</v>
      </c>
      <c r="F24" s="54" t="s">
        <v>84</v>
      </c>
      <c r="G24" s="53">
        <v>10</v>
      </c>
      <c r="H24" s="53">
        <v>10</v>
      </c>
      <c r="I24" s="53">
        <v>10</v>
      </c>
      <c r="J24" s="53">
        <v>10</v>
      </c>
      <c r="K24" s="53">
        <v>10</v>
      </c>
      <c r="L24" s="53">
        <v>10</v>
      </c>
      <c r="M24" s="53">
        <v>10</v>
      </c>
      <c r="N24" s="53">
        <v>10</v>
      </c>
      <c r="O24" s="53">
        <v>10</v>
      </c>
      <c r="P24" s="53">
        <v>10</v>
      </c>
      <c r="Q24" s="53">
        <v>10</v>
      </c>
      <c r="R24" s="53">
        <v>10</v>
      </c>
      <c r="S24" s="53">
        <v>120</v>
      </c>
    </row>
    <row r="25" spans="3:19" x14ac:dyDescent="0.25">
      <c r="C25" s="54" t="s">
        <v>82</v>
      </c>
      <c r="D25"/>
      <c r="E25"/>
      <c r="F25"/>
      <c r="G25" s="53">
        <v>66</v>
      </c>
      <c r="H25" s="53">
        <v>66</v>
      </c>
      <c r="I25" s="53">
        <v>66</v>
      </c>
      <c r="J25" s="53">
        <v>66</v>
      </c>
      <c r="K25" s="53">
        <v>66</v>
      </c>
      <c r="L25" s="53">
        <v>66</v>
      </c>
      <c r="M25" s="53">
        <v>66</v>
      </c>
      <c r="N25" s="53">
        <v>66</v>
      </c>
      <c r="O25" s="53">
        <v>66</v>
      </c>
      <c r="P25" s="53">
        <v>66</v>
      </c>
      <c r="Q25" s="53">
        <v>66</v>
      </c>
      <c r="R25" s="53">
        <v>66</v>
      </c>
      <c r="S25" s="53">
        <v>792</v>
      </c>
    </row>
    <row r="26" spans="3:19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3:19" x14ac:dyDescent="0.25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3:19" x14ac:dyDescent="0.25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3:19" x14ac:dyDescent="0.2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3:19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3:19" x14ac:dyDescent="0.25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3:19" x14ac:dyDescent="0.25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3:19" x14ac:dyDescent="0.25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3:19" x14ac:dyDescent="0.25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3:19" x14ac:dyDescent="0.25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3:19" x14ac:dyDescent="0.25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3:19" x14ac:dyDescent="0.25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3:19" x14ac:dyDescent="0.25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3:19" x14ac:dyDescent="0.25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3:19" x14ac:dyDescent="0.25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3:19" x14ac:dyDescent="0.25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3:19" x14ac:dyDescent="0.25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3:19" x14ac:dyDescent="0.25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3:19" x14ac:dyDescent="0.25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3:19" x14ac:dyDescent="0.25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3:19" x14ac:dyDescent="0.25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3:19" x14ac:dyDescent="0.25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3:19" x14ac:dyDescent="0.25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3:19" x14ac:dyDescent="0.25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3:19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3:19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3:19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3:19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3:19" x14ac:dyDescent="0.25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3:19" x14ac:dyDescent="0.25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3:19" x14ac:dyDescent="0.25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3:19" x14ac:dyDescent="0.25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3:19" x14ac:dyDescent="0.25"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3:19" x14ac:dyDescent="0.25"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3:19" x14ac:dyDescent="0.25"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3:19" x14ac:dyDescent="0.25"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3:19" x14ac:dyDescent="0.25"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3:19" x14ac:dyDescent="0.25"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3:19" x14ac:dyDescent="0.25"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3:19" x14ac:dyDescent="0.25"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3:19" x14ac:dyDescent="0.25"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3:19" x14ac:dyDescent="0.25"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3:19" x14ac:dyDescent="0.25"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3:19" x14ac:dyDescent="0.25"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3:19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3:19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3:19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3:19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3:19" x14ac:dyDescent="0.25"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3:19" x14ac:dyDescent="0.25"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3:19" x14ac:dyDescent="0.25"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3:19" x14ac:dyDescent="0.25"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3:19" x14ac:dyDescent="0.25"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3:19" x14ac:dyDescent="0.25"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3:19" x14ac:dyDescent="0.25"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3:19" x14ac:dyDescent="0.25"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3:19" x14ac:dyDescent="0.25"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3:19" x14ac:dyDescent="0.25"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3:19" x14ac:dyDescent="0.25"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3:19" x14ac:dyDescent="0.25"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3:19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3:19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3:19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3:19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3:19" x14ac:dyDescent="0.25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3:19" x14ac:dyDescent="0.25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3:19" x14ac:dyDescent="0.25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3:19" x14ac:dyDescent="0.25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3:19" x14ac:dyDescent="0.25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3:19" x14ac:dyDescent="0.25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3:19" x14ac:dyDescent="0.25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3:19" x14ac:dyDescent="0.25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3:19" x14ac:dyDescent="0.25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3:19" x14ac:dyDescent="0.25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3:19" x14ac:dyDescent="0.25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3:19" x14ac:dyDescent="0.25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3:19" x14ac:dyDescent="0.25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3:19" x14ac:dyDescent="0.25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3:19" x14ac:dyDescent="0.25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3:19" x14ac:dyDescent="0.25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3:19" x14ac:dyDescent="0.25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3:19" x14ac:dyDescent="0.25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3:19" x14ac:dyDescent="0.25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3:19" x14ac:dyDescent="0.25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3:19" x14ac:dyDescent="0.25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3:19" x14ac:dyDescent="0.25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3:19" x14ac:dyDescent="0.25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3:19" x14ac:dyDescent="0.25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3:19" x14ac:dyDescent="0.25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3:19" x14ac:dyDescent="0.25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3:19" x14ac:dyDescent="0.25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3:19" x14ac:dyDescent="0.25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3:19" x14ac:dyDescent="0.25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3:19" x14ac:dyDescent="0.25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3:19" x14ac:dyDescent="0.25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3:19" x14ac:dyDescent="0.25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3:19" x14ac:dyDescent="0.25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3:19" x14ac:dyDescent="0.25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3:19" x14ac:dyDescent="0.25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3:19" x14ac:dyDescent="0.25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3:19" x14ac:dyDescent="0.25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3:19" x14ac:dyDescent="0.25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3:19" x14ac:dyDescent="0.25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3:19" x14ac:dyDescent="0.25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3:19" x14ac:dyDescent="0.25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3:19" x14ac:dyDescent="0.25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3:19" x14ac:dyDescent="0.25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3:19" x14ac:dyDescent="0.25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3:19" x14ac:dyDescent="0.25"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3:19" x14ac:dyDescent="0.25"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3:19" x14ac:dyDescent="0.25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3:19" x14ac:dyDescent="0.25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3:19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3:19" x14ac:dyDescent="0.25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3:19" x14ac:dyDescent="0.25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3:19" x14ac:dyDescent="0.25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3:19" x14ac:dyDescent="0.25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3:19" x14ac:dyDescent="0.25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3:19" x14ac:dyDescent="0.25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3:19" x14ac:dyDescent="0.25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3:19" x14ac:dyDescent="0.25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3:19" x14ac:dyDescent="0.25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3:19" x14ac:dyDescent="0.25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3:19" x14ac:dyDescent="0.25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3:19" x14ac:dyDescent="0.25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3:19" x14ac:dyDescent="0.25"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3:19" x14ac:dyDescent="0.25"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3:19" x14ac:dyDescent="0.25"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3:19" x14ac:dyDescent="0.25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3:19" x14ac:dyDescent="0.25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3:19" x14ac:dyDescent="0.25"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3:19" x14ac:dyDescent="0.25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3:19" x14ac:dyDescent="0.25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3:19" x14ac:dyDescent="0.25"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3:19" x14ac:dyDescent="0.25"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3:19" x14ac:dyDescent="0.25"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3:19" x14ac:dyDescent="0.25"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3:19" x14ac:dyDescent="0.25"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3:19" x14ac:dyDescent="0.25"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3:19" x14ac:dyDescent="0.25"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3:19" x14ac:dyDescent="0.25"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3:19" x14ac:dyDescent="0.25"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3:19" x14ac:dyDescent="0.25"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3:19" x14ac:dyDescent="0.25"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3:19" x14ac:dyDescent="0.25"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3:19" x14ac:dyDescent="0.25"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3:19" x14ac:dyDescent="0.25"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</sheetData>
  <dataConsolidate/>
  <hyperlinks>
    <hyperlink ref="C5" location="Start!A1" display="Start"/>
    <hyperlink ref="L5" location="Pivot!A1" display="Pivot!A1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Excel_Standardinteraktion_aktivieren">
                <anchor moveWithCells="1" sizeWithCells="1">
                  <from>
                    <xdr:col>10</xdr:col>
                    <xdr:colOff>542925</xdr:colOff>
                    <xdr:row>1</xdr:row>
                    <xdr:rowOff>76200</xdr:rowOff>
                  </from>
                  <to>
                    <xdr:col>12</xdr:col>
                    <xdr:colOff>133350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Blattvorlage8">
    <pageSetUpPr fitToPage="1"/>
  </sheetPr>
  <dimension ref="A1:L108"/>
  <sheetViews>
    <sheetView workbookViewId="0">
      <pane xSplit="6" ySplit="8" topLeftCell="G9" activePane="bottomRight" state="frozen"/>
      <selection pane="topRight" activeCell="G1" sqref="G1"/>
      <selection pane="bottomLeft" activeCell="A9" sqref="A9"/>
      <selection pane="bottomRight"/>
    </sheetView>
  </sheetViews>
  <sheetFormatPr baseColWidth="10" defaultRowHeight="15" x14ac:dyDescent="0.25"/>
  <cols>
    <col min="1" max="1" width="3.28515625" style="60" customWidth="1"/>
    <col min="2" max="2" width="2.42578125" style="54" customWidth="1"/>
    <col min="3" max="3" width="24.5703125" style="54" customWidth="1"/>
    <col min="4" max="4" width="14.140625" style="54" customWidth="1"/>
    <col min="5" max="5" width="11.42578125" style="54"/>
    <col min="6" max="6" width="17.140625" style="54" customWidth="1"/>
    <col min="7" max="7" width="72.7109375" style="54" customWidth="1"/>
    <col min="8" max="8" width="51.7109375" style="54" customWidth="1"/>
    <col min="9" max="9" width="53.28515625" style="54" customWidth="1"/>
    <col min="10" max="16384" width="11.42578125" style="54"/>
  </cols>
  <sheetData>
    <row r="1" spans="1:12" s="13" customFormat="1" x14ac:dyDescent="0.25">
      <c r="A1" s="60" t="s">
        <v>40</v>
      </c>
    </row>
    <row r="2" spans="1:12" s="16" customFormat="1" ht="23.1" customHeight="1" x14ac:dyDescent="0.35">
      <c r="A2" s="61"/>
      <c r="C2" s="16" t="s">
        <v>103</v>
      </c>
    </row>
    <row r="3" spans="1:12" s="20" customFormat="1" ht="23.1" customHeight="1" x14ac:dyDescent="0.25">
      <c r="A3" s="62"/>
    </row>
    <row r="4" spans="1:12" s="20" customFormat="1" ht="23.1" customHeight="1" x14ac:dyDescent="0.25">
      <c r="A4" s="62"/>
      <c r="L4" s="20" t="s">
        <v>37</v>
      </c>
    </row>
    <row r="5" spans="1:12" s="55" customFormat="1" ht="23.1" customHeight="1" x14ac:dyDescent="0.25">
      <c r="A5" s="63"/>
      <c r="C5" s="55" t="s">
        <v>45</v>
      </c>
      <c r="L5" s="56" t="str">
        <f>gModus</f>
        <v>Anwender</v>
      </c>
    </row>
    <row r="6" spans="1:12" s="49" customFormat="1" ht="15.75" x14ac:dyDescent="0.25">
      <c r="A6" s="64"/>
      <c r="C6" s="59">
        <f>INDEX(7:7,MATCH(C7,8:8,0))</f>
        <v>5</v>
      </c>
      <c r="D6" s="93">
        <v>3</v>
      </c>
      <c r="G6" s="49">
        <v>1</v>
      </c>
    </row>
    <row r="7" spans="1:12" s="23" customFormat="1" x14ac:dyDescent="0.25">
      <c r="A7" s="60"/>
      <c r="C7" s="58" t="str">
        <f>Start!G7</f>
        <v>DE</v>
      </c>
      <c r="D7" s="58">
        <v>2</v>
      </c>
      <c r="E7" s="58">
        <v>3</v>
      </c>
      <c r="F7" s="58">
        <v>4</v>
      </c>
      <c r="G7" s="58">
        <v>5</v>
      </c>
      <c r="H7" s="58">
        <v>6</v>
      </c>
      <c r="I7" s="58">
        <v>7</v>
      </c>
      <c r="J7" s="58">
        <v>8</v>
      </c>
      <c r="K7" s="58">
        <v>9</v>
      </c>
      <c r="L7" s="58">
        <v>10</v>
      </c>
    </row>
    <row r="8" spans="1:12" s="23" customFormat="1" x14ac:dyDescent="0.25">
      <c r="A8" s="60"/>
      <c r="C8" s="23" t="s">
        <v>104</v>
      </c>
      <c r="D8" s="23" t="s">
        <v>105</v>
      </c>
      <c r="E8" s="23" t="s">
        <v>106</v>
      </c>
      <c r="F8" s="23" t="s">
        <v>71</v>
      </c>
      <c r="G8" s="23" t="s">
        <v>107</v>
      </c>
      <c r="H8" s="23" t="s">
        <v>108</v>
      </c>
      <c r="I8" s="23" t="s">
        <v>109</v>
      </c>
      <c r="J8" s="23" t="s">
        <v>86</v>
      </c>
      <c r="K8" s="23" t="s">
        <v>337</v>
      </c>
      <c r="L8" s="23" t="s">
        <v>338</v>
      </c>
    </row>
    <row r="9" spans="1:12" x14ac:dyDescent="0.25">
      <c r="B9" s="27" t="s">
        <v>107</v>
      </c>
      <c r="C9" s="57" t="str">
        <f>i18n[Sheet]&amp;"_"&amp;i18n[Typ]&amp;"_"&amp;i18n[ID]</f>
        <v>FT_BTN_Quit</v>
      </c>
      <c r="D9" s="54" t="s">
        <v>110</v>
      </c>
      <c r="E9" s="54" t="s">
        <v>147</v>
      </c>
      <c r="F9" s="65" t="s">
        <v>148</v>
      </c>
      <c r="G9" s="54" t="s">
        <v>149</v>
      </c>
      <c r="H9" s="54" t="s">
        <v>148</v>
      </c>
      <c r="I9" s="54" t="s">
        <v>347</v>
      </c>
      <c r="J9" s="54" t="s">
        <v>344</v>
      </c>
      <c r="K9" s="54" t="s">
        <v>345</v>
      </c>
      <c r="L9" s="54" t="s">
        <v>346</v>
      </c>
    </row>
    <row r="10" spans="1:12" x14ac:dyDescent="0.25">
      <c r="B10" s="27" t="s">
        <v>108</v>
      </c>
      <c r="C10" s="57" t="str">
        <f>i18n[Sheet]&amp;"_"&amp;i18n[Typ]&amp;"_"&amp;i18n[ID]</f>
        <v>FT_BTN_Refresh</v>
      </c>
      <c r="D10" s="54" t="s">
        <v>110</v>
      </c>
      <c r="E10" s="54" t="s">
        <v>147</v>
      </c>
      <c r="F10" s="65" t="s">
        <v>54</v>
      </c>
      <c r="G10" s="54" t="s">
        <v>150</v>
      </c>
      <c r="H10" s="54" t="s">
        <v>150</v>
      </c>
      <c r="I10" s="54" t="s">
        <v>348</v>
      </c>
      <c r="J10" s="54" t="s">
        <v>344</v>
      </c>
      <c r="K10" s="54" t="s">
        <v>345</v>
      </c>
      <c r="L10" s="54" t="s">
        <v>346</v>
      </c>
    </row>
    <row r="11" spans="1:12" x14ac:dyDescent="0.25">
      <c r="B11" s="27" t="s">
        <v>109</v>
      </c>
      <c r="C11" s="57" t="str">
        <f>i18n[Sheet]&amp;"_"&amp;i18n[Typ]&amp;"_"&amp;i18n[ID]</f>
        <v>FT_DLG_FCopy_FIDNew</v>
      </c>
      <c r="D11" s="54" t="s">
        <v>110</v>
      </c>
      <c r="E11" s="54" t="s">
        <v>151</v>
      </c>
      <c r="F11" s="54" t="s">
        <v>200</v>
      </c>
      <c r="G11" s="54" t="s">
        <v>191</v>
      </c>
      <c r="H11" s="54" t="s">
        <v>304</v>
      </c>
      <c r="I11" s="54" t="s">
        <v>349</v>
      </c>
      <c r="J11" s="54" t="s">
        <v>344</v>
      </c>
      <c r="K11" s="54" t="s">
        <v>345</v>
      </c>
      <c r="L11" s="54" t="s">
        <v>346</v>
      </c>
    </row>
    <row r="12" spans="1:12" x14ac:dyDescent="0.25">
      <c r="B12" s="27" t="s">
        <v>86</v>
      </c>
      <c r="C12" s="57" t="str">
        <f>i18n[Sheet]&amp;"_"&amp;i18n[Typ]&amp;"_"&amp;i18n[ID]</f>
        <v>FT_DLG_FCopy_FNameNew</v>
      </c>
      <c r="D12" s="54" t="s">
        <v>110</v>
      </c>
      <c r="E12" s="54" t="s">
        <v>151</v>
      </c>
      <c r="F12" s="54" t="s">
        <v>221</v>
      </c>
      <c r="G12" s="54" t="s">
        <v>192</v>
      </c>
      <c r="H12" s="54" t="s">
        <v>305</v>
      </c>
      <c r="I12" s="54" t="s">
        <v>356</v>
      </c>
      <c r="J12" s="54" t="s">
        <v>344</v>
      </c>
      <c r="K12" s="54" t="s">
        <v>345</v>
      </c>
      <c r="L12" s="54" t="s">
        <v>346</v>
      </c>
    </row>
    <row r="13" spans="1:12" x14ac:dyDescent="0.25">
      <c r="B13" s="27" t="s">
        <v>337</v>
      </c>
      <c r="C13" s="57" t="str">
        <f>i18n[Sheet]&amp;"_"&amp;i18n[Typ]&amp;"_"&amp;i18n[ID]</f>
        <v>FT_DLG_FCopy_H1</v>
      </c>
      <c r="D13" s="54" t="s">
        <v>110</v>
      </c>
      <c r="E13" s="54" t="s">
        <v>151</v>
      </c>
      <c r="F13" s="54" t="s">
        <v>212</v>
      </c>
      <c r="G13" s="54" t="s">
        <v>189</v>
      </c>
      <c r="H13" s="54" t="s">
        <v>302</v>
      </c>
      <c r="I13" s="54" t="s">
        <v>422</v>
      </c>
      <c r="J13" s="54" t="s">
        <v>344</v>
      </c>
      <c r="K13" s="54" t="s">
        <v>345</v>
      </c>
      <c r="L13" s="54" t="s">
        <v>346</v>
      </c>
    </row>
    <row r="14" spans="1:12" x14ac:dyDescent="0.25">
      <c r="B14" s="27" t="s">
        <v>338</v>
      </c>
      <c r="C14" s="57" t="str">
        <f>i18n[Sheet]&amp;"_"&amp;i18n[Typ]&amp;"_"&amp;i18n[ID]</f>
        <v>FT_DLG_FCopy_H2</v>
      </c>
      <c r="D14" s="54" t="s">
        <v>110</v>
      </c>
      <c r="E14" s="54" t="s">
        <v>151</v>
      </c>
      <c r="F14" s="54" t="s">
        <v>213</v>
      </c>
      <c r="G14" s="54" t="s">
        <v>190</v>
      </c>
      <c r="H14" s="54" t="s">
        <v>303</v>
      </c>
      <c r="I14" s="54" t="s">
        <v>424</v>
      </c>
      <c r="J14" s="54" t="s">
        <v>344</v>
      </c>
      <c r="K14" s="54" t="s">
        <v>345</v>
      </c>
      <c r="L14" s="54" t="s">
        <v>346</v>
      </c>
    </row>
    <row r="15" spans="1:12" x14ac:dyDescent="0.25">
      <c r="C15" s="57" t="str">
        <f>i18n[Sheet]&amp;"_"&amp;i18n[Typ]&amp;"_"&amp;i18n[ID]</f>
        <v>FT_DLG_FDel_H1</v>
      </c>
      <c r="D15" s="54" t="s">
        <v>110</v>
      </c>
      <c r="E15" s="54" t="s">
        <v>151</v>
      </c>
      <c r="F15" s="54" t="s">
        <v>214</v>
      </c>
      <c r="G15" s="54" t="s">
        <v>193</v>
      </c>
      <c r="H15" s="54" t="s">
        <v>306</v>
      </c>
      <c r="I15" s="54" t="s">
        <v>350</v>
      </c>
      <c r="J15" s="54" t="s">
        <v>344</v>
      </c>
      <c r="K15" s="54" t="s">
        <v>345</v>
      </c>
      <c r="L15" s="54" t="s">
        <v>346</v>
      </c>
    </row>
    <row r="16" spans="1:12" x14ac:dyDescent="0.25">
      <c r="C16" s="57" t="str">
        <f>i18n[Sheet]&amp;"_"&amp;i18n[Typ]&amp;"_"&amp;i18n[ID]</f>
        <v>FT_DLG_FDel_H2</v>
      </c>
      <c r="D16" s="54" t="s">
        <v>110</v>
      </c>
      <c r="E16" s="54" t="s">
        <v>151</v>
      </c>
      <c r="F16" s="54" t="s">
        <v>215</v>
      </c>
      <c r="G16" s="54" t="s">
        <v>351</v>
      </c>
      <c r="H16" s="54" t="s">
        <v>352</v>
      </c>
      <c r="I16" s="54" t="s">
        <v>353</v>
      </c>
      <c r="J16" s="54" t="s">
        <v>344</v>
      </c>
      <c r="K16" s="54" t="s">
        <v>345</v>
      </c>
      <c r="L16" s="54" t="s">
        <v>346</v>
      </c>
    </row>
    <row r="17" spans="2:12" x14ac:dyDescent="0.25">
      <c r="C17" s="57" t="str">
        <f>i18n[Sheet]&amp;"_"&amp;i18n[Typ]&amp;"_"&amp;i18n[ID]</f>
        <v>FT_DLG_FProp_H1</v>
      </c>
      <c r="D17" s="54" t="s">
        <v>110</v>
      </c>
      <c r="E17" s="54" t="s">
        <v>151</v>
      </c>
      <c r="F17" s="54" t="s">
        <v>194</v>
      </c>
      <c r="G17" s="54" t="s">
        <v>163</v>
      </c>
      <c r="H17" s="54" t="s">
        <v>164</v>
      </c>
      <c r="I17" s="54" t="s">
        <v>354</v>
      </c>
      <c r="J17" s="54" t="s">
        <v>344</v>
      </c>
      <c r="K17" s="54" t="s">
        <v>345</v>
      </c>
      <c r="L17" s="54" t="s">
        <v>346</v>
      </c>
    </row>
    <row r="18" spans="2:12" x14ac:dyDescent="0.25">
      <c r="C18" s="57" t="str">
        <f>i18n[Sheet]&amp;"_"&amp;i18n[Typ]&amp;"_"&amp;i18n[ID]</f>
        <v>FT_DLG_FProp_H2</v>
      </c>
      <c r="D18" s="54" t="s">
        <v>110</v>
      </c>
      <c r="E18" s="54" t="s">
        <v>151</v>
      </c>
      <c r="F18" s="54" t="s">
        <v>196</v>
      </c>
      <c r="G18" s="54" t="s">
        <v>165</v>
      </c>
      <c r="H18" s="54" t="s">
        <v>288</v>
      </c>
      <c r="I18" s="54" t="s">
        <v>355</v>
      </c>
      <c r="J18" s="54" t="s">
        <v>344</v>
      </c>
      <c r="K18" s="54" t="s">
        <v>345</v>
      </c>
      <c r="L18" s="54" t="s">
        <v>346</v>
      </c>
    </row>
    <row r="19" spans="2:12" x14ac:dyDescent="0.25">
      <c r="C19" s="57" t="str">
        <f>i18n[Sheet]&amp;"_"&amp;i18n[Typ]&amp;"_"&amp;i18n[ID]</f>
        <v>FT_DLG_FProp_ID</v>
      </c>
      <c r="D19" s="54" t="s">
        <v>110</v>
      </c>
      <c r="E19" s="54" t="s">
        <v>151</v>
      </c>
      <c r="F19" s="54" t="s">
        <v>195</v>
      </c>
      <c r="G19" s="54" t="s">
        <v>436</v>
      </c>
      <c r="H19" s="54" t="s">
        <v>437</v>
      </c>
      <c r="I19" s="54" t="s">
        <v>438</v>
      </c>
      <c r="J19" s="54" t="s">
        <v>344</v>
      </c>
      <c r="K19" s="54" t="s">
        <v>345</v>
      </c>
      <c r="L19" s="54" t="s">
        <v>346</v>
      </c>
    </row>
    <row r="20" spans="2:12" x14ac:dyDescent="0.25">
      <c r="C20" s="57" t="str">
        <f>i18n[Sheet]&amp;"_"&amp;i18n[Typ]&amp;"_"&amp;i18n[ID]</f>
        <v>FT_DLG_FProp_Name</v>
      </c>
      <c r="D20" s="54" t="s">
        <v>110</v>
      </c>
      <c r="E20" s="54" t="s">
        <v>151</v>
      </c>
      <c r="F20" s="54" t="s">
        <v>197</v>
      </c>
      <c r="G20" s="54" t="s">
        <v>166</v>
      </c>
      <c r="H20" s="54" t="s">
        <v>289</v>
      </c>
      <c r="I20" s="54" t="s">
        <v>357</v>
      </c>
      <c r="J20" s="54" t="s">
        <v>344</v>
      </c>
      <c r="K20" s="54" t="s">
        <v>345</v>
      </c>
      <c r="L20" s="54" t="s">
        <v>346</v>
      </c>
    </row>
    <row r="21" spans="2:12" x14ac:dyDescent="0.25">
      <c r="B21" s="58" t="s">
        <v>107</v>
      </c>
      <c r="C21" s="57" t="str">
        <f>i18n[Sheet]&amp;"_"&amp;i18n[Typ]&amp;"_"&amp;i18n[ID]</f>
        <v>FT_DLG_LoadDecide</v>
      </c>
      <c r="D21" s="54" t="s">
        <v>110</v>
      </c>
      <c r="E21" s="54" t="s">
        <v>151</v>
      </c>
      <c r="F21" s="54" t="s">
        <v>153</v>
      </c>
      <c r="G21" s="54" t="s">
        <v>161</v>
      </c>
      <c r="H21" s="54" t="s">
        <v>162</v>
      </c>
      <c r="I21" s="54" t="s">
        <v>358</v>
      </c>
      <c r="J21" s="54" t="s">
        <v>344</v>
      </c>
      <c r="K21" s="54" t="s">
        <v>345</v>
      </c>
      <c r="L21" s="54" t="s">
        <v>346</v>
      </c>
    </row>
    <row r="22" spans="2:12" x14ac:dyDescent="0.25">
      <c r="B22" s="58" t="s">
        <v>108</v>
      </c>
      <c r="C22" s="57" t="str">
        <f>i18n[Sheet]&amp;"_"&amp;i18n[Typ]&amp;"_"&amp;i18n[ID]</f>
        <v>FT_DLG_LoadH1</v>
      </c>
      <c r="D22" s="54" t="s">
        <v>110</v>
      </c>
      <c r="E22" s="54" t="s">
        <v>151</v>
      </c>
      <c r="F22" s="54" t="s">
        <v>152</v>
      </c>
      <c r="G22" s="54" t="s">
        <v>154</v>
      </c>
      <c r="H22" s="54" t="s">
        <v>155</v>
      </c>
      <c r="I22" s="54" t="s">
        <v>359</v>
      </c>
      <c r="J22" s="54" t="s">
        <v>344</v>
      </c>
      <c r="K22" s="54" t="s">
        <v>345</v>
      </c>
      <c r="L22" s="54" t="s">
        <v>346</v>
      </c>
    </row>
    <row r="23" spans="2:12" x14ac:dyDescent="0.25">
      <c r="B23" s="58" t="s">
        <v>109</v>
      </c>
      <c r="C23" s="57" t="str">
        <f>i18n[Sheet]&amp;"_"&amp;i18n[Typ]&amp;"_"&amp;i18n[ID]</f>
        <v>FT_DLG_LoadNoPF</v>
      </c>
      <c r="D23" s="54" t="s">
        <v>110</v>
      </c>
      <c r="E23" s="54" t="s">
        <v>151</v>
      </c>
      <c r="F23" s="54" t="s">
        <v>159</v>
      </c>
      <c r="G23" s="54" t="s">
        <v>160</v>
      </c>
      <c r="H23" s="54" t="s">
        <v>287</v>
      </c>
      <c r="I23" s="54" t="s">
        <v>360</v>
      </c>
      <c r="J23" s="54" t="s">
        <v>344</v>
      </c>
      <c r="K23" s="54" t="s">
        <v>345</v>
      </c>
      <c r="L23" s="54" t="s">
        <v>346</v>
      </c>
    </row>
    <row r="24" spans="2:12" x14ac:dyDescent="0.25">
      <c r="B24" s="58" t="s">
        <v>86</v>
      </c>
      <c r="C24" s="57" t="str">
        <f>i18n[Sheet]&amp;"_"&amp;i18n[Typ]&amp;"_"&amp;i18n[ID]</f>
        <v>FT_DLG_LoadSuccess</v>
      </c>
      <c r="D24" s="54" t="s">
        <v>110</v>
      </c>
      <c r="E24" s="54" t="s">
        <v>151</v>
      </c>
      <c r="F24" s="54" t="s">
        <v>157</v>
      </c>
      <c r="G24" s="54" t="s">
        <v>156</v>
      </c>
      <c r="H24" s="54" t="s">
        <v>158</v>
      </c>
      <c r="I24" s="54" t="s">
        <v>361</v>
      </c>
      <c r="J24" s="54" t="s">
        <v>344</v>
      </c>
      <c r="K24" s="54" t="s">
        <v>345</v>
      </c>
      <c r="L24" s="54" t="s">
        <v>346</v>
      </c>
    </row>
    <row r="25" spans="2:12" x14ac:dyDescent="0.25">
      <c r="B25" s="58" t="s">
        <v>337</v>
      </c>
      <c r="C25" s="57" t="str">
        <f>i18n[Sheet]&amp;"_"&amp;i18n[Typ]&amp;"_"&amp;i18n[ID]</f>
        <v>FT_DLG_PLCopy_FID</v>
      </c>
      <c r="D25" s="54" t="s">
        <v>110</v>
      </c>
      <c r="E25" s="54" t="s">
        <v>151</v>
      </c>
      <c r="F25" s="54" t="s">
        <v>220</v>
      </c>
      <c r="G25" s="54" t="s">
        <v>169</v>
      </c>
      <c r="H25" s="54" t="s">
        <v>292</v>
      </c>
      <c r="I25" s="54" t="s">
        <v>362</v>
      </c>
      <c r="J25" s="54" t="s">
        <v>344</v>
      </c>
      <c r="K25" s="54" t="s">
        <v>345</v>
      </c>
      <c r="L25" s="54" t="s">
        <v>346</v>
      </c>
    </row>
    <row r="26" spans="2:12" x14ac:dyDescent="0.25">
      <c r="B26" s="58" t="s">
        <v>338</v>
      </c>
      <c r="C26" s="57" t="str">
        <f>i18n[Sheet]&amp;"_"&amp;i18n[Typ]&amp;"_"&amp;i18n[ID]</f>
        <v>FT_DLG_PLCopy_H1</v>
      </c>
      <c r="D26" s="54" t="s">
        <v>110</v>
      </c>
      <c r="E26" s="54" t="s">
        <v>151</v>
      </c>
      <c r="F26" s="54" t="s">
        <v>198</v>
      </c>
      <c r="G26" s="54" t="s">
        <v>167</v>
      </c>
      <c r="H26" s="54" t="s">
        <v>290</v>
      </c>
      <c r="I26" s="54" t="s">
        <v>421</v>
      </c>
      <c r="J26" s="54" t="s">
        <v>344</v>
      </c>
      <c r="K26" s="54" t="s">
        <v>345</v>
      </c>
      <c r="L26" s="54" t="s">
        <v>346</v>
      </c>
    </row>
    <row r="27" spans="2:12" x14ac:dyDescent="0.25">
      <c r="C27" s="57" t="str">
        <f>i18n[Sheet]&amp;"_"&amp;i18n[Typ]&amp;"_"&amp;i18n[ID]</f>
        <v>FT_DLG_PLCopy_H2</v>
      </c>
      <c r="D27" s="54" t="s">
        <v>110</v>
      </c>
      <c r="E27" s="54" t="s">
        <v>151</v>
      </c>
      <c r="F27" s="54" t="s">
        <v>199</v>
      </c>
      <c r="G27" s="54" t="s">
        <v>168</v>
      </c>
      <c r="H27" s="54" t="s">
        <v>291</v>
      </c>
      <c r="I27" s="54" t="s">
        <v>363</v>
      </c>
      <c r="J27" s="54" t="s">
        <v>344</v>
      </c>
      <c r="K27" s="54" t="s">
        <v>345</v>
      </c>
      <c r="L27" s="54" t="s">
        <v>346</v>
      </c>
    </row>
    <row r="28" spans="2:12" x14ac:dyDescent="0.25">
      <c r="C28" s="57" t="str">
        <f>i18n[Sheet]&amp;"_"&amp;i18n[Typ]&amp;"_"&amp;i18n[ID]</f>
        <v>FT_DLG_PLCopy_PLIDNew</v>
      </c>
      <c r="D28" s="54" t="s">
        <v>110</v>
      </c>
      <c r="E28" s="54" t="s">
        <v>151</v>
      </c>
      <c r="F28" s="54" t="s">
        <v>218</v>
      </c>
      <c r="G28" s="54" t="s">
        <v>170</v>
      </c>
      <c r="H28" s="54" t="s">
        <v>293</v>
      </c>
      <c r="I28" s="54" t="s">
        <v>364</v>
      </c>
      <c r="J28" s="54" t="s">
        <v>344</v>
      </c>
      <c r="K28" s="54" t="s">
        <v>345</v>
      </c>
      <c r="L28" s="54" t="s">
        <v>346</v>
      </c>
    </row>
    <row r="29" spans="2:12" x14ac:dyDescent="0.25">
      <c r="C29" s="57" t="str">
        <f>i18n[Sheet]&amp;"_"&amp;i18n[Typ]&amp;"_"&amp;i18n[ID]</f>
        <v>FT_DLG_PLCopy_PLNameNew</v>
      </c>
      <c r="D29" s="54" t="s">
        <v>110</v>
      </c>
      <c r="E29" s="54" t="s">
        <v>151</v>
      </c>
      <c r="F29" s="54" t="s">
        <v>219</v>
      </c>
      <c r="G29" s="54" t="s">
        <v>171</v>
      </c>
      <c r="H29" s="54" t="s">
        <v>294</v>
      </c>
      <c r="I29" s="54" t="s">
        <v>366</v>
      </c>
      <c r="J29" s="54" t="s">
        <v>344</v>
      </c>
      <c r="K29" s="54" t="s">
        <v>345</v>
      </c>
      <c r="L29" s="54" t="s">
        <v>346</v>
      </c>
    </row>
    <row r="30" spans="2:12" x14ac:dyDescent="0.25">
      <c r="C30" s="57" t="str">
        <f>i18n[Sheet]&amp;"_"&amp;i18n[Typ]&amp;"_"&amp;i18n[ID]</f>
        <v>FT_DLG_PLDel_H1</v>
      </c>
      <c r="D30" s="54" t="s">
        <v>110</v>
      </c>
      <c r="E30" s="54" t="s">
        <v>151</v>
      </c>
      <c r="F30" s="54" t="s">
        <v>216</v>
      </c>
      <c r="G30" s="54" t="s">
        <v>193</v>
      </c>
      <c r="H30" s="54" t="s">
        <v>306</v>
      </c>
      <c r="I30" s="54" t="s">
        <v>350</v>
      </c>
      <c r="J30" s="54" t="s">
        <v>344</v>
      </c>
      <c r="K30" s="54" t="s">
        <v>345</v>
      </c>
      <c r="L30" s="54" t="s">
        <v>346</v>
      </c>
    </row>
    <row r="31" spans="2:12" x14ac:dyDescent="0.25">
      <c r="C31" s="57" t="str">
        <f>i18n[Sheet]&amp;"_"&amp;i18n[Typ]&amp;"_"&amp;i18n[ID]</f>
        <v>FT_DLG_PLDel_H2</v>
      </c>
      <c r="D31" s="54" t="s">
        <v>110</v>
      </c>
      <c r="E31" s="54" t="s">
        <v>151</v>
      </c>
      <c r="F31" s="54" t="s">
        <v>217</v>
      </c>
      <c r="G31" s="54" t="s">
        <v>223</v>
      </c>
      <c r="H31" s="54" t="s">
        <v>307</v>
      </c>
      <c r="I31" s="54" t="s">
        <v>367</v>
      </c>
      <c r="J31" s="54" t="s">
        <v>344</v>
      </c>
      <c r="K31" s="54" t="s">
        <v>345</v>
      </c>
      <c r="L31" s="54" t="s">
        <v>346</v>
      </c>
    </row>
    <row r="32" spans="2:12" x14ac:dyDescent="0.25">
      <c r="C32" s="57" t="str">
        <f>i18n[Sheet]&amp;"_"&amp;i18n[Typ]&amp;"_"&amp;i18n[ID]</f>
        <v>FT_DLG_PLProp_GA1_10</v>
      </c>
      <c r="D32" s="54" t="s">
        <v>110</v>
      </c>
      <c r="E32" s="54" t="s">
        <v>151</v>
      </c>
      <c r="F32" s="54" t="s">
        <v>202</v>
      </c>
      <c r="G32" s="54" t="s">
        <v>181</v>
      </c>
      <c r="H32" s="54" t="s">
        <v>296</v>
      </c>
      <c r="I32" s="54" t="s">
        <v>368</v>
      </c>
      <c r="J32" s="54" t="s">
        <v>344</v>
      </c>
      <c r="K32" s="54" t="s">
        <v>345</v>
      </c>
      <c r="L32" s="54" t="s">
        <v>346</v>
      </c>
    </row>
    <row r="33" spans="1:12" x14ac:dyDescent="0.25">
      <c r="C33" s="57" t="str">
        <f>i18n[Sheet]&amp;"_"&amp;i18n[Typ]&amp;"_"&amp;i18n[ID]</f>
        <v>FT_DLG_PLProp_GA11_20</v>
      </c>
      <c r="D33" s="54" t="s">
        <v>110</v>
      </c>
      <c r="E33" s="54" t="s">
        <v>151</v>
      </c>
      <c r="F33" s="54" t="s">
        <v>208</v>
      </c>
      <c r="G33" s="54" t="s">
        <v>182</v>
      </c>
      <c r="H33" s="54" t="s">
        <v>297</v>
      </c>
      <c r="I33" s="54" t="s">
        <v>369</v>
      </c>
      <c r="J33" s="54" t="s">
        <v>344</v>
      </c>
      <c r="K33" s="54" t="s">
        <v>345</v>
      </c>
      <c r="L33" s="54" t="s">
        <v>346</v>
      </c>
    </row>
    <row r="34" spans="1:12" x14ac:dyDescent="0.25">
      <c r="C34" s="70" t="str">
        <f>i18n[Sheet]&amp;"_"&amp;i18n[Typ]&amp;"_"&amp;i18n[ID]</f>
        <v>FT_DLG_PLProp_GA21_25</v>
      </c>
      <c r="D34" s="54" t="s">
        <v>110</v>
      </c>
      <c r="E34" s="54" t="s">
        <v>151</v>
      </c>
      <c r="F34" s="54" t="s">
        <v>209</v>
      </c>
      <c r="G34" s="54" t="s">
        <v>183</v>
      </c>
      <c r="H34" s="54" t="s">
        <v>298</v>
      </c>
      <c r="I34" s="54" t="s">
        <v>370</v>
      </c>
      <c r="J34" s="54" t="s">
        <v>344</v>
      </c>
      <c r="K34" s="54" t="s">
        <v>345</v>
      </c>
      <c r="L34" s="54" t="s">
        <v>346</v>
      </c>
    </row>
    <row r="35" spans="1:12" x14ac:dyDescent="0.25">
      <c r="C35" s="57" t="str">
        <f>i18n[Sheet]&amp;"_"&amp;i18n[Typ]&amp;"_"&amp;i18n[ID]</f>
        <v>FT_DLG_PLProp_GA1H1</v>
      </c>
      <c r="D35" s="54" t="s">
        <v>110</v>
      </c>
      <c r="E35" s="54" t="s">
        <v>151</v>
      </c>
      <c r="F35" s="54" t="s">
        <v>210</v>
      </c>
      <c r="G35" s="54" t="s">
        <v>184</v>
      </c>
      <c r="H35" s="54" t="s">
        <v>299</v>
      </c>
      <c r="I35" s="54" t="s">
        <v>371</v>
      </c>
      <c r="J35" s="54" t="s">
        <v>344</v>
      </c>
      <c r="K35" s="54" t="s">
        <v>345</v>
      </c>
      <c r="L35" s="54" t="s">
        <v>346</v>
      </c>
    </row>
    <row r="36" spans="1:12" s="35" customFormat="1" x14ac:dyDescent="0.25">
      <c r="A36" s="60"/>
      <c r="C36" s="78" t="str">
        <f>i18n[Sheet]&amp;"_"&amp;i18n[Typ]&amp;"_"&amp;i18n[ID]</f>
        <v>FT_DLG_PLProp_GA1Hint1</v>
      </c>
      <c r="D36" s="35" t="s">
        <v>110</v>
      </c>
      <c r="E36" s="35" t="s">
        <v>151</v>
      </c>
      <c r="F36" s="35" t="s">
        <v>211</v>
      </c>
      <c r="G36" s="35" t="s">
        <v>331</v>
      </c>
      <c r="H36" s="35" t="s">
        <v>336</v>
      </c>
      <c r="I36" s="35" t="s">
        <v>442</v>
      </c>
      <c r="J36" s="35" t="s">
        <v>344</v>
      </c>
      <c r="K36" s="35" t="s">
        <v>345</v>
      </c>
      <c r="L36" s="35" t="s">
        <v>346</v>
      </c>
    </row>
    <row r="37" spans="1:12" x14ac:dyDescent="0.25">
      <c r="C37" s="57" t="str">
        <f>i18n[Sheet]&amp;"_"&amp;i18n[Typ]&amp;"_"&amp;i18n[ID]</f>
        <v>FT_DLG_PLProp_GA2Hint1</v>
      </c>
      <c r="D37" s="54" t="s">
        <v>110</v>
      </c>
      <c r="E37" s="54" t="s">
        <v>151</v>
      </c>
      <c r="F37" s="54" t="s">
        <v>203</v>
      </c>
      <c r="G37" s="54" t="s">
        <v>332</v>
      </c>
      <c r="H37" s="54" t="s">
        <v>335</v>
      </c>
      <c r="I37" s="54" t="s">
        <v>439</v>
      </c>
      <c r="J37" s="54" t="s">
        <v>344</v>
      </c>
      <c r="K37" s="54" t="s">
        <v>345</v>
      </c>
      <c r="L37" s="54" t="s">
        <v>346</v>
      </c>
    </row>
    <row r="38" spans="1:12" x14ac:dyDescent="0.25">
      <c r="C38" s="57" t="str">
        <f>i18n[Sheet]&amp;"_"&amp;i18n[Typ]&amp;"_"&amp;i18n[ID]</f>
        <v>FT_DLG_PLProp_GA3Hint1</v>
      </c>
      <c r="D38" s="54" t="s">
        <v>110</v>
      </c>
      <c r="E38" s="54" t="s">
        <v>151</v>
      </c>
      <c r="F38" s="54" t="s">
        <v>204</v>
      </c>
      <c r="G38" s="54" t="s">
        <v>333</v>
      </c>
      <c r="H38" s="54" t="s">
        <v>334</v>
      </c>
      <c r="I38" s="54" t="s">
        <v>372</v>
      </c>
      <c r="J38" s="54" t="s">
        <v>344</v>
      </c>
      <c r="K38" s="54" t="s">
        <v>345</v>
      </c>
      <c r="L38" s="54" t="s">
        <v>346</v>
      </c>
    </row>
    <row r="39" spans="1:12" x14ac:dyDescent="0.25">
      <c r="C39" s="57" t="str">
        <f>i18n[Sheet]&amp;"_"&amp;i18n[Typ]&amp;"_"&amp;i18n[ID]</f>
        <v>FT_DLG_PLProp_GAXFor</v>
      </c>
      <c r="D39" s="54" t="s">
        <v>110</v>
      </c>
      <c r="E39" s="54" t="s">
        <v>151</v>
      </c>
      <c r="F39" s="54" t="s">
        <v>205</v>
      </c>
      <c r="G39" s="54" t="s">
        <v>185</v>
      </c>
      <c r="H39" s="54" t="s">
        <v>330</v>
      </c>
      <c r="I39" s="54" t="s">
        <v>373</v>
      </c>
      <c r="J39" s="54" t="s">
        <v>344</v>
      </c>
      <c r="K39" s="54" t="s">
        <v>345</v>
      </c>
      <c r="L39" s="54" t="s">
        <v>346</v>
      </c>
    </row>
    <row r="40" spans="1:12" x14ac:dyDescent="0.25">
      <c r="C40" s="57" t="str">
        <f>i18n[Sheet]&amp;"_"&amp;i18n[Typ]&amp;"_"&amp;i18n[ID]</f>
        <v>FT_DLG_PLProp_GAXName</v>
      </c>
      <c r="D40" s="54" t="s">
        <v>110</v>
      </c>
      <c r="E40" s="54" t="s">
        <v>151</v>
      </c>
      <c r="F40" s="54" t="s">
        <v>206</v>
      </c>
      <c r="G40" s="54" t="s">
        <v>186</v>
      </c>
      <c r="H40" s="54" t="s">
        <v>300</v>
      </c>
      <c r="I40" s="54" t="s">
        <v>440</v>
      </c>
      <c r="J40" s="54" t="s">
        <v>344</v>
      </c>
      <c r="K40" s="54" t="s">
        <v>345</v>
      </c>
      <c r="L40" s="54" t="s">
        <v>346</v>
      </c>
    </row>
    <row r="41" spans="1:12" x14ac:dyDescent="0.25">
      <c r="C41" s="57" t="str">
        <f>i18n[Sheet]&amp;"_"&amp;i18n[Typ]&amp;"_"&amp;i18n[ID]</f>
        <v>FT_DLG_PLProp_GAXshows</v>
      </c>
      <c r="D41" s="54" t="s">
        <v>110</v>
      </c>
      <c r="E41" s="54" t="s">
        <v>151</v>
      </c>
      <c r="F41" s="54" t="s">
        <v>207</v>
      </c>
      <c r="G41" s="54" t="s">
        <v>187</v>
      </c>
      <c r="H41" s="54" t="s">
        <v>301</v>
      </c>
      <c r="I41" s="54" t="s">
        <v>441</v>
      </c>
      <c r="J41" s="54" t="s">
        <v>344</v>
      </c>
      <c r="K41" s="54" t="s">
        <v>345</v>
      </c>
      <c r="L41" s="54" t="s">
        <v>346</v>
      </c>
    </row>
    <row r="42" spans="1:12" x14ac:dyDescent="0.25">
      <c r="C42" s="57" t="str">
        <f>i18n[Sheet]&amp;"_"&amp;i18n[Typ]&amp;"_"&amp;i18n[ID]</f>
        <v>FT_DLG_PLProp_H1</v>
      </c>
      <c r="D42" s="54" t="s">
        <v>110</v>
      </c>
      <c r="E42" s="54" t="s">
        <v>151</v>
      </c>
      <c r="F42" s="54" t="s">
        <v>201</v>
      </c>
      <c r="G42" s="54" t="s">
        <v>174</v>
      </c>
      <c r="H42" s="54" t="s">
        <v>295</v>
      </c>
      <c r="I42" s="54" t="s">
        <v>374</v>
      </c>
      <c r="J42" s="54" t="s">
        <v>344</v>
      </c>
      <c r="K42" s="54" t="s">
        <v>345</v>
      </c>
      <c r="L42" s="54" t="s">
        <v>346</v>
      </c>
    </row>
    <row r="43" spans="1:12" x14ac:dyDescent="0.25">
      <c r="C43" s="57" t="str">
        <f>i18n[Sheet]&amp;"_"&amp;i18n[Typ]&amp;"_"&amp;i18n[ID]</f>
        <v>FT_L_ChangeDB</v>
      </c>
      <c r="D43" s="54" t="s">
        <v>110</v>
      </c>
      <c r="E43" s="54" t="s">
        <v>146</v>
      </c>
      <c r="F43" s="65" t="s">
        <v>115</v>
      </c>
      <c r="G43" s="54" t="s">
        <v>81</v>
      </c>
      <c r="H43" s="54" t="s">
        <v>117</v>
      </c>
      <c r="I43" s="54" t="s">
        <v>375</v>
      </c>
      <c r="J43" s="54" t="s">
        <v>344</v>
      </c>
      <c r="K43" s="54" t="s">
        <v>345</v>
      </c>
      <c r="L43" s="54" t="s">
        <v>346</v>
      </c>
    </row>
    <row r="44" spans="1:12" x14ac:dyDescent="0.25">
      <c r="A44" s="60" t="s">
        <v>16</v>
      </c>
      <c r="C44" s="57" t="str">
        <f>i18n[Sheet]&amp;"_"&amp;i18n[Typ]&amp;"_"&amp;i18n[ID]</f>
        <v>FT_L_Go</v>
      </c>
      <c r="D44" s="54" t="s">
        <v>110</v>
      </c>
      <c r="E44" s="54" t="s">
        <v>146</v>
      </c>
      <c r="F44" s="65" t="s">
        <v>116</v>
      </c>
      <c r="G44" s="54" t="s">
        <v>53</v>
      </c>
      <c r="H44" s="54" t="s">
        <v>112</v>
      </c>
      <c r="I44" s="54" t="s">
        <v>376</v>
      </c>
      <c r="J44" s="54" t="s">
        <v>344</v>
      </c>
      <c r="K44" s="54" t="s">
        <v>345</v>
      </c>
      <c r="L44" s="54" t="s">
        <v>346</v>
      </c>
    </row>
    <row r="45" spans="1:12" x14ac:dyDescent="0.25">
      <c r="C45" s="57" t="str">
        <f>i18n[Sheet]&amp;"_"&amp;i18n[Typ]&amp;"_"&amp;i18n[ID]</f>
        <v>FT_SH_H2</v>
      </c>
      <c r="D45" s="54" t="s">
        <v>110</v>
      </c>
      <c r="E45" s="54" t="s">
        <v>111</v>
      </c>
      <c r="F45" s="65" t="s">
        <v>113</v>
      </c>
      <c r="G45" s="54" t="s">
        <v>445</v>
      </c>
      <c r="H45" s="54" t="s">
        <v>114</v>
      </c>
      <c r="I45" s="54" t="s">
        <v>377</v>
      </c>
      <c r="J45" s="54" t="s">
        <v>344</v>
      </c>
      <c r="K45" s="54" t="s">
        <v>345</v>
      </c>
      <c r="L45" s="54" t="s">
        <v>346</v>
      </c>
    </row>
    <row r="46" spans="1:12" x14ac:dyDescent="0.25">
      <c r="C46" s="57" t="str">
        <f>i18n[Sheet]&amp;"_"&amp;i18n[Typ]&amp;"_"&amp;i18n[ID]</f>
        <v>G_DLG_Exit</v>
      </c>
      <c r="D46" s="54" t="s">
        <v>118</v>
      </c>
      <c r="E46" s="54" t="s">
        <v>151</v>
      </c>
      <c r="F46" s="54" t="s">
        <v>188</v>
      </c>
      <c r="G46" s="54" t="s">
        <v>172</v>
      </c>
      <c r="H46" s="54" t="s">
        <v>173</v>
      </c>
      <c r="I46" s="54" t="s">
        <v>378</v>
      </c>
      <c r="J46" s="54" t="s">
        <v>344</v>
      </c>
      <c r="K46" s="54" t="s">
        <v>345</v>
      </c>
      <c r="L46" s="54" t="s">
        <v>346</v>
      </c>
    </row>
    <row r="47" spans="1:12" x14ac:dyDescent="0.25">
      <c r="C47" s="57" t="str">
        <f>i18n[Sheet]&amp;"_"&amp;i18n[Typ]&amp;"_"&amp;i18n[ID]</f>
        <v>G_G_Comment</v>
      </c>
      <c r="D47" s="54" t="s">
        <v>118</v>
      </c>
      <c r="E47" s="54" t="s">
        <v>118</v>
      </c>
      <c r="F47" s="54" t="s">
        <v>179</v>
      </c>
      <c r="G47" s="54" t="s">
        <v>180</v>
      </c>
      <c r="H47" s="54" t="s">
        <v>179</v>
      </c>
      <c r="I47" s="54" t="s">
        <v>379</v>
      </c>
      <c r="J47" s="54" t="s">
        <v>344</v>
      </c>
      <c r="K47" s="54" t="s">
        <v>345</v>
      </c>
      <c r="L47" s="54" t="s">
        <v>346</v>
      </c>
    </row>
    <row r="48" spans="1:12" x14ac:dyDescent="0.25">
      <c r="C48" s="57" t="str">
        <f>i18n[Sheet]&amp;"_"&amp;i18n[Typ]&amp;"_"&amp;i18n[ID]</f>
        <v>G_G_FID</v>
      </c>
      <c r="D48" s="54" t="s">
        <v>118</v>
      </c>
      <c r="E48" s="54" t="s">
        <v>118</v>
      </c>
      <c r="F48" s="54" t="s">
        <v>134</v>
      </c>
      <c r="G48" s="54" t="s">
        <v>139</v>
      </c>
      <c r="H48" s="54" t="s">
        <v>43</v>
      </c>
      <c r="I48" s="54" t="s">
        <v>380</v>
      </c>
      <c r="J48" s="54" t="s">
        <v>344</v>
      </c>
      <c r="K48" s="54" t="s">
        <v>345</v>
      </c>
      <c r="L48" s="54" t="s">
        <v>346</v>
      </c>
    </row>
    <row r="49" spans="3:12" x14ac:dyDescent="0.25">
      <c r="C49" s="57" t="str">
        <f>i18n[Sheet]&amp;"_"&amp;i18n[Typ]&amp;"_"&amp;i18n[ID]</f>
        <v>G_G_FName</v>
      </c>
      <c r="D49" s="54" t="s">
        <v>118</v>
      </c>
      <c r="E49" s="54" t="s">
        <v>118</v>
      </c>
      <c r="F49" s="54" t="s">
        <v>222</v>
      </c>
      <c r="G49" s="54" t="s">
        <v>175</v>
      </c>
      <c r="H49" s="54" t="s">
        <v>176</v>
      </c>
      <c r="I49" s="54" t="s">
        <v>357</v>
      </c>
      <c r="J49" s="54" t="s">
        <v>344</v>
      </c>
      <c r="K49" s="54" t="s">
        <v>345</v>
      </c>
      <c r="L49" s="54" t="s">
        <v>346</v>
      </c>
    </row>
    <row r="50" spans="3:12" x14ac:dyDescent="0.25">
      <c r="C50" s="57" t="str">
        <f>i18n[Sheet]&amp;"_"&amp;i18n[Typ]&amp;"_"&amp;i18n[ID]</f>
        <v>G_G_Fplural</v>
      </c>
      <c r="D50" s="54" t="s">
        <v>118</v>
      </c>
      <c r="E50" s="54" t="s">
        <v>118</v>
      </c>
      <c r="F50" s="54" t="s">
        <v>120</v>
      </c>
      <c r="G50" s="54" t="s">
        <v>50</v>
      </c>
      <c r="H50" s="54" t="s">
        <v>130</v>
      </c>
      <c r="I50" s="54" t="s">
        <v>381</v>
      </c>
      <c r="J50" s="54" t="s">
        <v>344</v>
      </c>
      <c r="K50" s="54" t="s">
        <v>345</v>
      </c>
      <c r="L50" s="54" t="s">
        <v>346</v>
      </c>
    </row>
    <row r="51" spans="3:12" x14ac:dyDescent="0.25">
      <c r="C51" s="57" t="str">
        <f>i18n[Sheet]&amp;"_"&amp;i18n[Typ]&amp;"_"&amp;i18n[ID]</f>
        <v>G_G_Fsingular</v>
      </c>
      <c r="D51" s="54" t="s">
        <v>118</v>
      </c>
      <c r="E51" s="54" t="s">
        <v>118</v>
      </c>
      <c r="F51" s="54" t="s">
        <v>119</v>
      </c>
      <c r="G51" s="54" t="s">
        <v>125</v>
      </c>
      <c r="H51" s="54" t="s">
        <v>129</v>
      </c>
      <c r="I51" s="54" t="s">
        <v>382</v>
      </c>
      <c r="J51" s="54" t="s">
        <v>344</v>
      </c>
      <c r="K51" s="54" t="s">
        <v>345</v>
      </c>
      <c r="L51" s="54" t="s">
        <v>346</v>
      </c>
    </row>
    <row r="52" spans="3:12" x14ac:dyDescent="0.25">
      <c r="C52" s="57" t="str">
        <f>i18n[Sheet]&amp;"_"&amp;i18n[Typ]&amp;"_"&amp;i18n[ID]</f>
        <v>G_G_PID</v>
      </c>
      <c r="D52" s="54" t="s">
        <v>118</v>
      </c>
      <c r="E52" s="54" t="s">
        <v>118</v>
      </c>
      <c r="F52" s="54" t="s">
        <v>136</v>
      </c>
      <c r="G52" s="54" t="s">
        <v>137</v>
      </c>
      <c r="H52" s="54" t="s">
        <v>42</v>
      </c>
      <c r="I52" s="54" t="s">
        <v>383</v>
      </c>
      <c r="J52" s="54" t="s">
        <v>344</v>
      </c>
      <c r="K52" s="54" t="s">
        <v>345</v>
      </c>
      <c r="L52" s="54" t="s">
        <v>346</v>
      </c>
    </row>
    <row r="53" spans="3:12" x14ac:dyDescent="0.25">
      <c r="C53" s="57" t="str">
        <f>i18n[Sheet]&amp;"_"&amp;i18n[Typ]&amp;"_"&amp;i18n[ID]</f>
        <v>G_G_PLID</v>
      </c>
      <c r="D53" s="54" t="s">
        <v>118</v>
      </c>
      <c r="E53" s="54" t="s">
        <v>118</v>
      </c>
      <c r="F53" s="54" t="s">
        <v>135</v>
      </c>
      <c r="G53" s="54" t="s">
        <v>138</v>
      </c>
      <c r="H53" s="54" t="s">
        <v>52</v>
      </c>
      <c r="I53" s="54" t="s">
        <v>384</v>
      </c>
      <c r="J53" s="54" t="s">
        <v>344</v>
      </c>
      <c r="K53" s="54" t="s">
        <v>345</v>
      </c>
      <c r="L53" s="54" t="s">
        <v>346</v>
      </c>
    </row>
    <row r="54" spans="3:12" x14ac:dyDescent="0.25">
      <c r="C54" s="57" t="str">
        <f>i18n[Sheet]&amp;"_"&amp;i18n[Typ]&amp;"_"&amp;i18n[ID]</f>
        <v>G_G_PLName</v>
      </c>
      <c r="D54" s="54" t="s">
        <v>118</v>
      </c>
      <c r="E54" s="54" t="s">
        <v>118</v>
      </c>
      <c r="F54" s="54" t="s">
        <v>177</v>
      </c>
      <c r="G54" s="54" t="s">
        <v>178</v>
      </c>
      <c r="H54" s="54" t="s">
        <v>178</v>
      </c>
      <c r="I54" s="54" t="s">
        <v>385</v>
      </c>
      <c r="J54" s="54" t="s">
        <v>344</v>
      </c>
      <c r="K54" s="54" t="s">
        <v>345</v>
      </c>
      <c r="L54" s="54" t="s">
        <v>346</v>
      </c>
    </row>
    <row r="55" spans="3:12" x14ac:dyDescent="0.25">
      <c r="C55" s="57" t="str">
        <f>i18n[Sheet]&amp;"_"&amp;i18n[Typ]&amp;"_"&amp;i18n[ID]</f>
        <v>G_G_PLplural</v>
      </c>
      <c r="D55" s="54" t="s">
        <v>118</v>
      </c>
      <c r="E55" s="54" t="s">
        <v>118</v>
      </c>
      <c r="F55" s="54" t="s">
        <v>122</v>
      </c>
      <c r="G55" s="54" t="s">
        <v>51</v>
      </c>
      <c r="H55" s="54" t="s">
        <v>132</v>
      </c>
      <c r="I55" s="54" t="s">
        <v>387</v>
      </c>
      <c r="J55" s="54" t="s">
        <v>344</v>
      </c>
      <c r="K55" s="54" t="s">
        <v>345</v>
      </c>
      <c r="L55" s="54" t="s">
        <v>346</v>
      </c>
    </row>
    <row r="56" spans="3:12" x14ac:dyDescent="0.25">
      <c r="C56" s="57" t="str">
        <f>i18n[Sheet]&amp;"_"&amp;i18n[Typ]&amp;"_"&amp;i18n[ID]</f>
        <v>G_G_PLsingular</v>
      </c>
      <c r="D56" s="54" t="s">
        <v>118</v>
      </c>
      <c r="E56" s="54" t="s">
        <v>118</v>
      </c>
      <c r="F56" s="54" t="s">
        <v>121</v>
      </c>
      <c r="G56" s="54" t="s">
        <v>126</v>
      </c>
      <c r="H56" s="54" t="s">
        <v>131</v>
      </c>
      <c r="I56" s="54" t="s">
        <v>386</v>
      </c>
      <c r="J56" s="54" t="s">
        <v>344</v>
      </c>
      <c r="K56" s="54" t="s">
        <v>345</v>
      </c>
      <c r="L56" s="54" t="s">
        <v>346</v>
      </c>
    </row>
    <row r="57" spans="3:12" x14ac:dyDescent="0.25">
      <c r="C57" s="57" t="str">
        <f>i18n[Sheet]&amp;"_"&amp;i18n[Typ]&amp;"_"&amp;i18n[ID]</f>
        <v>G_G_Pplural</v>
      </c>
      <c r="D57" s="54" t="s">
        <v>118</v>
      </c>
      <c r="E57" s="54" t="s">
        <v>118</v>
      </c>
      <c r="F57" s="54" t="s">
        <v>124</v>
      </c>
      <c r="G57" s="54" t="s">
        <v>128</v>
      </c>
      <c r="H57" s="54" t="s">
        <v>388</v>
      </c>
      <c r="I57" s="54" t="s">
        <v>389</v>
      </c>
      <c r="J57" s="54" t="s">
        <v>344</v>
      </c>
      <c r="K57" s="54" t="s">
        <v>345</v>
      </c>
      <c r="L57" s="54" t="s">
        <v>346</v>
      </c>
    </row>
    <row r="58" spans="3:12" x14ac:dyDescent="0.25">
      <c r="C58" s="57" t="str">
        <f>i18n[Sheet]&amp;"_"&amp;i18n[Typ]&amp;"_"&amp;i18n[ID]</f>
        <v>G_G_Psingular</v>
      </c>
      <c r="D58" s="54" t="s">
        <v>118</v>
      </c>
      <c r="E58" s="54" t="s">
        <v>118</v>
      </c>
      <c r="F58" s="54" t="s">
        <v>123</v>
      </c>
      <c r="G58" s="54" t="s">
        <v>127</v>
      </c>
      <c r="H58" s="54" t="s">
        <v>133</v>
      </c>
      <c r="I58" s="54" t="s">
        <v>390</v>
      </c>
      <c r="J58" s="54" t="s">
        <v>344</v>
      </c>
      <c r="K58" s="54" t="s">
        <v>345</v>
      </c>
      <c r="L58" s="54" t="s">
        <v>346</v>
      </c>
    </row>
    <row r="59" spans="3:12" x14ac:dyDescent="0.25">
      <c r="C59" s="57" t="str">
        <f>i18n[Sheet]&amp;"_"&amp;i18n[Typ]&amp;"_"&amp;i18n[ID]</f>
        <v>G_G_RespPers</v>
      </c>
      <c r="D59" s="54" t="s">
        <v>118</v>
      </c>
      <c r="E59" s="54" t="s">
        <v>118</v>
      </c>
      <c r="F59" s="54" t="s">
        <v>141</v>
      </c>
      <c r="G59" s="54" t="s">
        <v>56</v>
      </c>
      <c r="H59" s="54" t="s">
        <v>142</v>
      </c>
      <c r="I59" t="s">
        <v>391</v>
      </c>
      <c r="J59" s="54" t="s">
        <v>344</v>
      </c>
      <c r="K59" s="54" t="s">
        <v>345</v>
      </c>
      <c r="L59" s="54" t="s">
        <v>346</v>
      </c>
    </row>
    <row r="60" spans="3:12" x14ac:dyDescent="0.25">
      <c r="C60" s="57" t="str">
        <f>i18n[Sheet]&amp;"_"&amp;i18n[Typ]&amp;"_"&amp;i18n[ID]</f>
        <v>G_L_Edit</v>
      </c>
      <c r="D60" s="54" t="s">
        <v>118</v>
      </c>
      <c r="E60" s="54" t="s">
        <v>146</v>
      </c>
      <c r="F60" s="54" t="s">
        <v>143</v>
      </c>
      <c r="G60" s="54" t="s">
        <v>55</v>
      </c>
      <c r="H60" s="54" t="s">
        <v>143</v>
      </c>
      <c r="I60" t="s">
        <v>435</v>
      </c>
      <c r="J60" s="54" t="s">
        <v>344</v>
      </c>
      <c r="K60" s="54" t="s">
        <v>345</v>
      </c>
      <c r="L60" s="54" t="s">
        <v>346</v>
      </c>
    </row>
    <row r="61" spans="3:12" x14ac:dyDescent="0.25">
      <c r="C61" s="57" t="str">
        <f>i18n[Sheet]&amp;"_"&amp;i18n[Typ]&amp;"_"&amp;i18n[ID]</f>
        <v>G_L_New</v>
      </c>
      <c r="D61" s="54" t="s">
        <v>118</v>
      </c>
      <c r="E61" s="54" t="s">
        <v>146</v>
      </c>
      <c r="F61" s="54" t="s">
        <v>140</v>
      </c>
      <c r="G61" s="54" t="s">
        <v>57</v>
      </c>
      <c r="H61" s="54" t="s">
        <v>140</v>
      </c>
      <c r="I61" s="54" t="s">
        <v>392</v>
      </c>
      <c r="J61" s="54" t="s">
        <v>344</v>
      </c>
      <c r="K61" s="54" t="s">
        <v>345</v>
      </c>
      <c r="L61" s="54" t="s">
        <v>346</v>
      </c>
    </row>
    <row r="62" spans="3:12" x14ac:dyDescent="0.25">
      <c r="C62" s="57" t="str">
        <f>i18n[Sheet]&amp;"_"&amp;i18n[Typ]&amp;"_"&amp;i18n[ID]</f>
        <v>G_L_Props</v>
      </c>
      <c r="D62" s="54" t="s">
        <v>118</v>
      </c>
      <c r="E62" s="54" t="s">
        <v>146</v>
      </c>
      <c r="F62" s="54" t="s">
        <v>144</v>
      </c>
      <c r="G62" s="54" t="s">
        <v>73</v>
      </c>
      <c r="H62" s="54" t="s">
        <v>145</v>
      </c>
      <c r="I62" s="54" t="s">
        <v>393</v>
      </c>
      <c r="J62" s="54" t="s">
        <v>344</v>
      </c>
      <c r="K62" s="54" t="s">
        <v>345</v>
      </c>
      <c r="L62" s="54" t="s">
        <v>346</v>
      </c>
    </row>
    <row r="63" spans="3:12" x14ac:dyDescent="0.25">
      <c r="C63" s="57" t="str">
        <f>i18n[Sheet]&amp;"_"&amp;i18n[Typ]&amp;"_"&amp;i18n[ID]</f>
        <v>G_SH_PLID</v>
      </c>
      <c r="D63" s="54" t="s">
        <v>118</v>
      </c>
      <c r="E63" s="54" t="s">
        <v>111</v>
      </c>
      <c r="F63" s="54" t="s">
        <v>135</v>
      </c>
      <c r="G63" s="54" t="s">
        <v>138</v>
      </c>
      <c r="H63" s="54" t="s">
        <v>52</v>
      </c>
      <c r="I63" s="54" t="s">
        <v>384</v>
      </c>
      <c r="J63" s="54" t="s">
        <v>344</v>
      </c>
      <c r="K63" s="54" t="s">
        <v>345</v>
      </c>
      <c r="L63" s="54" t="s">
        <v>346</v>
      </c>
    </row>
    <row r="64" spans="3:12" x14ac:dyDescent="0.25">
      <c r="C64" s="57" t="str">
        <f>i18n[Sheet]&amp;"_"&amp;i18n[Typ]&amp;"_"&amp;i18n[ID]</f>
        <v>G_SH_PID</v>
      </c>
      <c r="D64" s="54" t="s">
        <v>118</v>
      </c>
      <c r="E64" s="54" t="s">
        <v>111</v>
      </c>
      <c r="F64" s="54" t="s">
        <v>136</v>
      </c>
      <c r="G64" s="54" t="s">
        <v>137</v>
      </c>
      <c r="H64" s="54" t="s">
        <v>42</v>
      </c>
      <c r="I64" s="54" t="s">
        <v>383</v>
      </c>
      <c r="J64" s="54" t="s">
        <v>344</v>
      </c>
      <c r="K64" s="54" t="s">
        <v>345</v>
      </c>
      <c r="L64" s="54" t="s">
        <v>346</v>
      </c>
    </row>
    <row r="65" spans="3:12" x14ac:dyDescent="0.25">
      <c r="C65" s="57" t="str">
        <f>i18n[Sheet]&amp;"_"&amp;i18n[Typ]&amp;"_"&amp;i18n[ID]</f>
        <v>FT_DLG_FNew_FIDNew</v>
      </c>
      <c r="D65" s="54" t="s">
        <v>110</v>
      </c>
      <c r="E65" s="54" t="s">
        <v>151</v>
      </c>
      <c r="F65" s="54" t="s">
        <v>224</v>
      </c>
      <c r="G65" s="54" t="s">
        <v>191</v>
      </c>
      <c r="H65" s="54" t="s">
        <v>292</v>
      </c>
      <c r="I65" s="54" t="s">
        <v>349</v>
      </c>
      <c r="J65" s="54" t="s">
        <v>344</v>
      </c>
      <c r="K65" s="54" t="s">
        <v>345</v>
      </c>
      <c r="L65" s="54" t="s">
        <v>346</v>
      </c>
    </row>
    <row r="66" spans="3:12" x14ac:dyDescent="0.25">
      <c r="C66" s="57" t="str">
        <f>i18n[Sheet]&amp;"_"&amp;i18n[Typ]&amp;"_"&amp;i18n[ID]</f>
        <v>FT_DLG_FNew_FNameNew</v>
      </c>
      <c r="D66" s="54" t="s">
        <v>110</v>
      </c>
      <c r="E66" s="54" t="s">
        <v>151</v>
      </c>
      <c r="F66" s="54" t="s">
        <v>225</v>
      </c>
      <c r="G66" s="54" t="s">
        <v>192</v>
      </c>
      <c r="H66" s="54" t="s">
        <v>305</v>
      </c>
      <c r="I66" s="54" t="s">
        <v>356</v>
      </c>
      <c r="J66" s="54" t="s">
        <v>344</v>
      </c>
      <c r="K66" s="54" t="s">
        <v>345</v>
      </c>
      <c r="L66" s="54" t="s">
        <v>346</v>
      </c>
    </row>
    <row r="67" spans="3:12" x14ac:dyDescent="0.25">
      <c r="C67" s="57" t="str">
        <f>i18n[Sheet]&amp;"_"&amp;i18n[Typ]&amp;"_"&amp;i18n[ID]</f>
        <v>FT_DLG_FNew_H1</v>
      </c>
      <c r="D67" s="54" t="s">
        <v>110</v>
      </c>
      <c r="E67" s="54" t="s">
        <v>151</v>
      </c>
      <c r="F67" s="54" t="s">
        <v>250</v>
      </c>
      <c r="G67" s="54" t="s">
        <v>226</v>
      </c>
      <c r="H67" s="54" t="s">
        <v>308</v>
      </c>
      <c r="I67" s="54" t="s">
        <v>420</v>
      </c>
      <c r="J67" s="54" t="s">
        <v>344</v>
      </c>
      <c r="K67" s="54" t="s">
        <v>345</v>
      </c>
      <c r="L67" s="54" t="s">
        <v>346</v>
      </c>
    </row>
    <row r="68" spans="3:12" x14ac:dyDescent="0.25">
      <c r="C68" s="57" t="str">
        <f>i18n[Sheet]&amp;"_"&amp;i18n[Typ]&amp;"_"&amp;i18n[ID]</f>
        <v>FT_DLG_FNew_H2</v>
      </c>
      <c r="D68" s="54" t="s">
        <v>110</v>
      </c>
      <c r="E68" s="54" t="s">
        <v>151</v>
      </c>
      <c r="F68" s="54" t="s">
        <v>251</v>
      </c>
      <c r="G68" s="54" t="s">
        <v>190</v>
      </c>
      <c r="H68" s="54" t="s">
        <v>329</v>
      </c>
      <c r="I68" s="54" t="s">
        <v>424</v>
      </c>
      <c r="J68" s="54" t="s">
        <v>344</v>
      </c>
      <c r="K68" s="54" t="s">
        <v>345</v>
      </c>
      <c r="L68" s="54" t="s">
        <v>346</v>
      </c>
    </row>
    <row r="69" spans="3:12" x14ac:dyDescent="0.25">
      <c r="C69" s="57" t="str">
        <f>i18n[Sheet]&amp;"_"&amp;i18n[Typ]&amp;"_"&amp;i18n[ID]</f>
        <v>G_L_Reload</v>
      </c>
      <c r="D69" s="54" t="s">
        <v>118</v>
      </c>
      <c r="E69" s="54" t="s">
        <v>146</v>
      </c>
      <c r="F69" s="54" t="s">
        <v>64</v>
      </c>
      <c r="G69" s="54" t="s">
        <v>64</v>
      </c>
      <c r="H69" s="54" t="s">
        <v>64</v>
      </c>
      <c r="I69" s="54" t="s">
        <v>394</v>
      </c>
      <c r="J69" s="54" t="s">
        <v>344</v>
      </c>
      <c r="K69" s="54" t="s">
        <v>345</v>
      </c>
      <c r="L69" s="54" t="s">
        <v>346</v>
      </c>
    </row>
    <row r="70" spans="3:12" x14ac:dyDescent="0.25">
      <c r="C70" s="57" t="str">
        <f>i18n[Sheet]&amp;"_"&amp;i18n[Typ]&amp;"_"&amp;i18n[ID]</f>
        <v>G_L_SaveClose</v>
      </c>
      <c r="D70" s="54" t="s">
        <v>118</v>
      </c>
      <c r="E70" s="54" t="s">
        <v>146</v>
      </c>
      <c r="F70" s="54" t="s">
        <v>227</v>
      </c>
      <c r="G70" s="54" t="s">
        <v>228</v>
      </c>
      <c r="H70" s="54" t="s">
        <v>229</v>
      </c>
      <c r="I70" s="54" t="s">
        <v>395</v>
      </c>
      <c r="J70" s="54" t="s">
        <v>344</v>
      </c>
      <c r="K70" s="54" t="s">
        <v>345</v>
      </c>
      <c r="L70" s="54" t="s">
        <v>346</v>
      </c>
    </row>
    <row r="71" spans="3:12" x14ac:dyDescent="0.25">
      <c r="C71" s="57" t="str">
        <f>i18n[Sheet]&amp;"_"&amp;i18n[Typ]&amp;"_"&amp;i18n[ID]</f>
        <v>G_L_Close</v>
      </c>
      <c r="D71" s="54" t="s">
        <v>118</v>
      </c>
      <c r="E71" s="54" t="s">
        <v>146</v>
      </c>
      <c r="F71" s="54" t="s">
        <v>230</v>
      </c>
      <c r="G71" s="54" t="s">
        <v>231</v>
      </c>
      <c r="H71" s="54" t="s">
        <v>230</v>
      </c>
      <c r="I71" t="s">
        <v>396</v>
      </c>
      <c r="J71" s="54" t="s">
        <v>344</v>
      </c>
      <c r="K71" s="54" t="s">
        <v>345</v>
      </c>
      <c r="L71" s="54" t="s">
        <v>346</v>
      </c>
    </row>
    <row r="72" spans="3:12" x14ac:dyDescent="0.25">
      <c r="C72" s="57" t="str">
        <f>i18n[Sheet]&amp;"_"&amp;i18n[Typ]&amp;"_"&amp;i18n[ID]</f>
        <v>G_L_Save</v>
      </c>
      <c r="D72" s="54" t="s">
        <v>118</v>
      </c>
      <c r="E72" s="54" t="s">
        <v>146</v>
      </c>
      <c r="F72" s="54" t="s">
        <v>232</v>
      </c>
      <c r="G72" s="54" t="s">
        <v>233</v>
      </c>
      <c r="H72" s="54" t="s">
        <v>232</v>
      </c>
      <c r="I72" t="s">
        <v>397</v>
      </c>
      <c r="J72" s="54" t="s">
        <v>344</v>
      </c>
      <c r="K72" s="54" t="s">
        <v>345</v>
      </c>
      <c r="L72" s="54" t="s">
        <v>346</v>
      </c>
    </row>
    <row r="73" spans="3:12" x14ac:dyDescent="0.25">
      <c r="C73" s="57" t="str">
        <f>i18n[Sheet]&amp;"_"&amp;i18n[Typ]&amp;"_"&amp;i18n[ID]</f>
        <v>G_DLG_OK</v>
      </c>
      <c r="D73" s="54" t="s">
        <v>118</v>
      </c>
      <c r="E73" s="54" t="s">
        <v>151</v>
      </c>
      <c r="F73" s="54" t="s">
        <v>234</v>
      </c>
      <c r="G73" s="54" t="s">
        <v>234</v>
      </c>
      <c r="H73" s="54" t="s">
        <v>234</v>
      </c>
      <c r="I73" t="s">
        <v>398</v>
      </c>
      <c r="J73" s="54" t="s">
        <v>344</v>
      </c>
      <c r="K73" s="54" t="s">
        <v>345</v>
      </c>
      <c r="L73" s="54" t="s">
        <v>346</v>
      </c>
    </row>
    <row r="74" spans="3:12" x14ac:dyDescent="0.25">
      <c r="C74" s="57" t="str">
        <f>i18n[Sheet]&amp;"_"&amp;i18n[Typ]&amp;"_"&amp;i18n[ID]</f>
        <v>FT_DLG_PLNew_H1</v>
      </c>
      <c r="D74" s="54" t="s">
        <v>110</v>
      </c>
      <c r="E74" s="54" t="s">
        <v>151</v>
      </c>
      <c r="F74" s="54" t="s">
        <v>235</v>
      </c>
      <c r="G74" s="54" t="s">
        <v>236</v>
      </c>
      <c r="H74" s="54" t="s">
        <v>311</v>
      </c>
      <c r="I74" s="54" t="s">
        <v>399</v>
      </c>
      <c r="J74" s="54" t="s">
        <v>344</v>
      </c>
      <c r="K74" s="54" t="s">
        <v>345</v>
      </c>
      <c r="L74" s="54" t="s">
        <v>346</v>
      </c>
    </row>
    <row r="75" spans="3:12" x14ac:dyDescent="0.25">
      <c r="C75" s="57" t="str">
        <f>i18n[Sheet]&amp;"_"&amp;i18n[Typ]&amp;"_"&amp;i18n[ID]</f>
        <v>FT_DLG_PLNew_H2</v>
      </c>
      <c r="D75" s="54" t="s">
        <v>110</v>
      </c>
      <c r="E75" s="54" t="s">
        <v>151</v>
      </c>
      <c r="F75" s="54" t="s">
        <v>237</v>
      </c>
      <c r="G75" s="54" t="s">
        <v>400</v>
      </c>
      <c r="H75" s="54" t="s">
        <v>401</v>
      </c>
      <c r="I75" s="54" t="s">
        <v>402</v>
      </c>
      <c r="J75" s="54" t="s">
        <v>344</v>
      </c>
      <c r="K75" s="54" t="s">
        <v>345</v>
      </c>
      <c r="L75" s="54" t="s">
        <v>346</v>
      </c>
    </row>
    <row r="76" spans="3:12" x14ac:dyDescent="0.25">
      <c r="C76" s="57" t="str">
        <f>i18n[Sheet]&amp;"_"&amp;i18n[Typ]&amp;"_"&amp;i18n[ID]</f>
        <v>FT_DLG_PLNew_FID</v>
      </c>
      <c r="D76" s="54" t="s">
        <v>110</v>
      </c>
      <c r="E76" s="54" t="s">
        <v>151</v>
      </c>
      <c r="F76" s="54" t="s">
        <v>238</v>
      </c>
      <c r="G76" s="54" t="s">
        <v>169</v>
      </c>
      <c r="H76" s="54" t="s">
        <v>292</v>
      </c>
      <c r="I76" s="54" t="s">
        <v>362</v>
      </c>
      <c r="J76" s="54" t="s">
        <v>344</v>
      </c>
      <c r="K76" s="54" t="s">
        <v>345</v>
      </c>
      <c r="L76" s="54" t="s">
        <v>346</v>
      </c>
    </row>
    <row r="77" spans="3:12" x14ac:dyDescent="0.25">
      <c r="C77" s="57" t="str">
        <f>i18n[Sheet]&amp;"_"&amp;i18n[Typ]&amp;"_"&amp;i18n[ID]</f>
        <v>FT_DLG_PLNew_PLIDNew</v>
      </c>
      <c r="D77" s="54" t="s">
        <v>110</v>
      </c>
      <c r="E77" s="54" t="s">
        <v>151</v>
      </c>
      <c r="F77" s="54" t="s">
        <v>239</v>
      </c>
      <c r="G77" s="54" t="s">
        <v>170</v>
      </c>
      <c r="H77" s="54" t="s">
        <v>293</v>
      </c>
      <c r="I77" s="54" t="s">
        <v>364</v>
      </c>
      <c r="J77" s="54" t="s">
        <v>344</v>
      </c>
      <c r="K77" s="54" t="s">
        <v>345</v>
      </c>
      <c r="L77" s="54" t="s">
        <v>346</v>
      </c>
    </row>
    <row r="78" spans="3:12" x14ac:dyDescent="0.25">
      <c r="C78" s="57" t="str">
        <f>i18n[Sheet]&amp;"_"&amp;i18n[Typ]&amp;"_"&amp;i18n[ID]</f>
        <v>FT_DLG_PLNew_PLNameNew</v>
      </c>
      <c r="D78" s="54" t="s">
        <v>110</v>
      </c>
      <c r="E78" s="54" t="s">
        <v>151</v>
      </c>
      <c r="F78" s="54" t="s">
        <v>240</v>
      </c>
      <c r="G78" s="54" t="s">
        <v>171</v>
      </c>
      <c r="H78" s="54" t="s">
        <v>294</v>
      </c>
      <c r="I78" s="54" t="s">
        <v>366</v>
      </c>
      <c r="J78" s="54" t="s">
        <v>344</v>
      </c>
      <c r="K78" s="54" t="s">
        <v>345</v>
      </c>
      <c r="L78" s="54" t="s">
        <v>346</v>
      </c>
    </row>
    <row r="79" spans="3:12" x14ac:dyDescent="0.25">
      <c r="C79" s="57" t="str">
        <f>i18n[Sheet]&amp;"_"&amp;i18n[Typ]&amp;"_"&amp;i18n[ID]</f>
        <v>G_L_Details</v>
      </c>
      <c r="D79" s="54" t="s">
        <v>118</v>
      </c>
      <c r="E79" s="54" t="s">
        <v>146</v>
      </c>
      <c r="F79" s="54" t="s">
        <v>72</v>
      </c>
      <c r="G79" s="54" t="s">
        <v>72</v>
      </c>
      <c r="H79" s="54" t="s">
        <v>72</v>
      </c>
      <c r="I79" s="54" t="s">
        <v>403</v>
      </c>
      <c r="J79" s="54" t="s">
        <v>344</v>
      </c>
      <c r="K79" s="54" t="s">
        <v>345</v>
      </c>
      <c r="L79" s="54" t="s">
        <v>346</v>
      </c>
    </row>
    <row r="80" spans="3:12" x14ac:dyDescent="0.25">
      <c r="C80" s="57" t="str">
        <f>i18n[Sheet]&amp;"_"&amp;i18n[Typ]&amp;"_"&amp;i18n[ID]</f>
        <v>Pivot_SH_H1</v>
      </c>
      <c r="D80" s="54" t="s">
        <v>241</v>
      </c>
      <c r="E80" s="54" t="s">
        <v>111</v>
      </c>
      <c r="F80" s="54" t="s">
        <v>242</v>
      </c>
      <c r="G80" s="54" t="s">
        <v>49</v>
      </c>
      <c r="H80" s="54" t="s">
        <v>312</v>
      </c>
      <c r="I80" s="54" t="s">
        <v>404</v>
      </c>
      <c r="J80" s="54" t="s">
        <v>344</v>
      </c>
      <c r="K80" s="54" t="s">
        <v>345</v>
      </c>
      <c r="L80" s="54" t="s">
        <v>346</v>
      </c>
    </row>
    <row r="81" spans="1:12" s="67" customFormat="1" x14ac:dyDescent="0.25">
      <c r="A81" s="68"/>
      <c r="C81" s="69" t="str">
        <f>i18n[Sheet]&amp;"_"&amp;i18n[Typ]&amp;"_"&amp;i18n[ID]</f>
        <v>G_DLG_Insert</v>
      </c>
      <c r="D81" s="67" t="s">
        <v>118</v>
      </c>
      <c r="E81" s="67" t="s">
        <v>151</v>
      </c>
      <c r="F81" s="67" t="s">
        <v>243</v>
      </c>
      <c r="G81" s="67" t="s">
        <v>244</v>
      </c>
      <c r="H81" s="36" t="s">
        <v>243</v>
      </c>
      <c r="I81" s="54" t="s">
        <v>405</v>
      </c>
      <c r="J81" s="54" t="s">
        <v>344</v>
      </c>
      <c r="K81" s="54" t="s">
        <v>345</v>
      </c>
      <c r="L81" s="54" t="s">
        <v>346</v>
      </c>
    </row>
    <row r="82" spans="1:12" x14ac:dyDescent="0.25">
      <c r="C82" s="57" t="str">
        <f>i18n[Sheet]&amp;"_"&amp;i18n[Typ]&amp;"_"&amp;i18n[ID]</f>
        <v>G_DLG_Delete</v>
      </c>
      <c r="D82" s="54" t="s">
        <v>118</v>
      </c>
      <c r="E82" s="54" t="s">
        <v>151</v>
      </c>
      <c r="F82" s="54" t="s">
        <v>245</v>
      </c>
      <c r="G82" s="54" t="s">
        <v>246</v>
      </c>
      <c r="H82" s="54" t="s">
        <v>245</v>
      </c>
      <c r="I82" s="54" t="s">
        <v>406</v>
      </c>
      <c r="J82" s="54" t="s">
        <v>344</v>
      </c>
      <c r="K82" s="54" t="s">
        <v>345</v>
      </c>
      <c r="L82" s="54" t="s">
        <v>346</v>
      </c>
    </row>
    <row r="83" spans="1:12" x14ac:dyDescent="0.25">
      <c r="C83" s="57" t="str">
        <f>i18n[Sheet]&amp;"_"&amp;i18n[Typ]&amp;"_"&amp;i18n[ID]</f>
        <v>G_DLG_All</v>
      </c>
      <c r="D83" s="54" t="s">
        <v>118</v>
      </c>
      <c r="E83" s="54" t="s">
        <v>151</v>
      </c>
      <c r="F83" s="54" t="s">
        <v>247</v>
      </c>
      <c r="G83" s="54" t="s">
        <v>248</v>
      </c>
      <c r="H83" s="54" t="s">
        <v>247</v>
      </c>
      <c r="I83" s="54" t="s">
        <v>407</v>
      </c>
      <c r="J83" s="54" t="s">
        <v>344</v>
      </c>
      <c r="K83" s="54" t="s">
        <v>345</v>
      </c>
      <c r="L83" s="54" t="s">
        <v>346</v>
      </c>
    </row>
    <row r="84" spans="1:12" x14ac:dyDescent="0.25">
      <c r="B84" s="66" t="s">
        <v>276</v>
      </c>
      <c r="C84" s="57" t="str">
        <f>i18n[Sheet]&amp;"_"&amp;i18n[Typ]&amp;"_"&amp;i18n[ID]</f>
        <v>FT_DLG_FNew_False</v>
      </c>
      <c r="D84" s="67" t="s">
        <v>110</v>
      </c>
      <c r="E84" s="54" t="s">
        <v>151</v>
      </c>
      <c r="F84" s="54" t="s">
        <v>249</v>
      </c>
      <c r="G84" s="54" t="s">
        <v>443</v>
      </c>
      <c r="H84" s="54" t="s">
        <v>444</v>
      </c>
      <c r="I84" s="54" t="s">
        <v>408</v>
      </c>
      <c r="J84" s="54" t="s">
        <v>344</v>
      </c>
      <c r="K84" s="54" t="s">
        <v>345</v>
      </c>
      <c r="L84" s="54" t="s">
        <v>346</v>
      </c>
    </row>
    <row r="85" spans="1:12" x14ac:dyDescent="0.25">
      <c r="B85" s="66"/>
      <c r="C85" s="57" t="str">
        <f>i18n[Sheet]&amp;"_"&amp;i18n[Typ]&amp;"_"&amp;i18n[ID]</f>
        <v>FT_DLG_PLNew_False</v>
      </c>
      <c r="D85" s="67" t="s">
        <v>110</v>
      </c>
      <c r="E85" s="54" t="s">
        <v>151</v>
      </c>
      <c r="F85" s="54" t="s">
        <v>252</v>
      </c>
      <c r="G85" s="54" t="s">
        <v>277</v>
      </c>
      <c r="H85" s="54" t="s">
        <v>278</v>
      </c>
      <c r="I85" s="54" t="s">
        <v>409</v>
      </c>
      <c r="J85" s="54" t="s">
        <v>344</v>
      </c>
      <c r="K85" s="54" t="s">
        <v>345</v>
      </c>
      <c r="L85" s="54" t="s">
        <v>346</v>
      </c>
    </row>
    <row r="86" spans="1:12" x14ac:dyDescent="0.25">
      <c r="B86" s="66"/>
      <c r="C86" s="57" t="str">
        <f>i18n[Sheet]&amp;"_"&amp;i18n[Typ]&amp;"_"&amp;i18n[ID]</f>
        <v>H_DLG_StatM_False</v>
      </c>
      <c r="D86" s="67" t="s">
        <v>41</v>
      </c>
      <c r="E86" s="54" t="s">
        <v>151</v>
      </c>
      <c r="F86" s="54" t="s">
        <v>253</v>
      </c>
      <c r="G86" s="54" t="s">
        <v>254</v>
      </c>
      <c r="H86" s="54" t="s">
        <v>279</v>
      </c>
      <c r="I86" s="54" t="s">
        <v>410</v>
      </c>
      <c r="J86" s="54" t="s">
        <v>344</v>
      </c>
      <c r="K86" s="54" t="s">
        <v>345</v>
      </c>
      <c r="L86" s="54" t="s">
        <v>346</v>
      </c>
    </row>
    <row r="87" spans="1:12" x14ac:dyDescent="0.25">
      <c r="B87" s="66"/>
      <c r="C87" s="57" t="str">
        <f>i18n[Sheet]&amp;"_"&amp;i18n[Typ]&amp;"_"&amp;i18n[ID]</f>
        <v>H_DLG_StatM_H1</v>
      </c>
      <c r="D87" s="67" t="s">
        <v>41</v>
      </c>
      <c r="E87" s="54" t="s">
        <v>151</v>
      </c>
      <c r="F87" s="54" t="s">
        <v>255</v>
      </c>
      <c r="G87" s="54" t="s">
        <v>256</v>
      </c>
      <c r="H87" s="54" t="s">
        <v>280</v>
      </c>
      <c r="I87" s="54" t="s">
        <v>411</v>
      </c>
      <c r="J87" s="54" t="s">
        <v>344</v>
      </c>
      <c r="K87" s="54" t="s">
        <v>345</v>
      </c>
      <c r="L87" s="54" t="s">
        <v>346</v>
      </c>
    </row>
    <row r="88" spans="1:12" x14ac:dyDescent="0.25">
      <c r="B88" s="66"/>
      <c r="C88" s="57" t="str">
        <f>i18n[Sheet]&amp;"_"&amp;i18n[Typ]&amp;"_"&amp;i18n[ID]</f>
        <v>H_DLG_StatM_H2</v>
      </c>
      <c r="D88" s="67" t="s">
        <v>41</v>
      </c>
      <c r="E88" s="54" t="s">
        <v>151</v>
      </c>
      <c r="F88" s="54" t="s">
        <v>260</v>
      </c>
      <c r="G88" s="54" t="s">
        <v>257</v>
      </c>
      <c r="H88" s="54" t="s">
        <v>281</v>
      </c>
      <c r="I88" s="54" t="s">
        <v>412</v>
      </c>
      <c r="J88" s="54" t="s">
        <v>344</v>
      </c>
      <c r="K88" s="54" t="s">
        <v>345</v>
      </c>
      <c r="L88" s="54" t="s">
        <v>346</v>
      </c>
    </row>
    <row r="89" spans="1:12" x14ac:dyDescent="0.25">
      <c r="B89" s="66"/>
      <c r="C89" s="57" t="str">
        <f>i18n[Sheet]&amp;"_"&amp;i18n[Typ]&amp;"_"&amp;i18n[ID]</f>
        <v>H_DLG_StatM_User</v>
      </c>
      <c r="D89" s="67" t="s">
        <v>41</v>
      </c>
      <c r="E89" s="54" t="s">
        <v>151</v>
      </c>
      <c r="F89" s="54" t="s">
        <v>261</v>
      </c>
      <c r="G89" s="54" t="s">
        <v>258</v>
      </c>
      <c r="H89" s="54" t="s">
        <v>258</v>
      </c>
      <c r="I89" s="54" t="s">
        <v>414</v>
      </c>
      <c r="J89" s="54" t="s">
        <v>344</v>
      </c>
      <c r="K89" s="54" t="s">
        <v>345</v>
      </c>
      <c r="L89" s="54" t="s">
        <v>346</v>
      </c>
    </row>
    <row r="90" spans="1:12" x14ac:dyDescent="0.25">
      <c r="B90" s="66"/>
      <c r="C90" s="57" t="str">
        <f>i18n[Sheet]&amp;"_"&amp;i18n[Typ]&amp;"_"&amp;i18n[ID]</f>
        <v>H_DLG_StatM_PC</v>
      </c>
      <c r="D90" s="67" t="s">
        <v>41</v>
      </c>
      <c r="E90" s="54" t="s">
        <v>151</v>
      </c>
      <c r="F90" s="54" t="s">
        <v>262</v>
      </c>
      <c r="G90" s="54" t="s">
        <v>259</v>
      </c>
      <c r="H90" s="54" t="s">
        <v>259</v>
      </c>
      <c r="I90" s="54" t="s">
        <v>259</v>
      </c>
      <c r="J90" s="54" t="s">
        <v>344</v>
      </c>
      <c r="K90" s="54" t="s">
        <v>345</v>
      </c>
      <c r="L90" s="54" t="s">
        <v>346</v>
      </c>
    </row>
    <row r="91" spans="1:12" x14ac:dyDescent="0.25">
      <c r="B91" s="66"/>
      <c r="C91" s="57" t="str">
        <f>i18n[Sheet]&amp;"_"&amp;i18n[Typ]&amp;"_"&amp;i18n[ID]</f>
        <v>L_DLG_LNew_H1</v>
      </c>
      <c r="D91" s="67" t="s">
        <v>146</v>
      </c>
      <c r="E91" s="54" t="s">
        <v>151</v>
      </c>
      <c r="F91" s="54" t="s">
        <v>263</v>
      </c>
      <c r="G91" s="54" t="s">
        <v>264</v>
      </c>
      <c r="H91" s="54" t="s">
        <v>282</v>
      </c>
      <c r="I91" s="54" t="s">
        <v>419</v>
      </c>
      <c r="J91" s="54" t="s">
        <v>344</v>
      </c>
      <c r="K91" s="54" t="s">
        <v>345</v>
      </c>
      <c r="L91" s="54" t="s">
        <v>346</v>
      </c>
    </row>
    <row r="92" spans="1:12" x14ac:dyDescent="0.25">
      <c r="B92" s="66"/>
      <c r="C92" s="57" t="str">
        <f>i18n[Sheet]&amp;"_"&amp;i18n[Typ]&amp;"_"&amp;i18n[ID]</f>
        <v>L_DLG_LNew_H2</v>
      </c>
      <c r="D92" s="67" t="s">
        <v>146</v>
      </c>
      <c r="E92" s="54" t="s">
        <v>151</v>
      </c>
      <c r="F92" s="54" t="s">
        <v>267</v>
      </c>
      <c r="G92" s="54" t="s">
        <v>265</v>
      </c>
      <c r="H92" s="54" t="s">
        <v>283</v>
      </c>
      <c r="I92" s="54" t="s">
        <v>423</v>
      </c>
      <c r="J92" s="54" t="s">
        <v>344</v>
      </c>
      <c r="K92" s="54" t="s">
        <v>345</v>
      </c>
      <c r="L92" s="54" t="s">
        <v>346</v>
      </c>
    </row>
    <row r="93" spans="1:12" x14ac:dyDescent="0.25">
      <c r="B93" s="66"/>
      <c r="C93" s="57" t="str">
        <f>i18n[Sheet]&amp;"_"&amp;i18n[Typ]&amp;"_"&amp;i18n[ID]</f>
        <v>L_DLG_LNew_LID</v>
      </c>
      <c r="D93" s="67" t="s">
        <v>146</v>
      </c>
      <c r="E93" s="54" t="s">
        <v>151</v>
      </c>
      <c r="F93" s="54" t="s">
        <v>266</v>
      </c>
      <c r="G93" s="54" t="s">
        <v>60</v>
      </c>
      <c r="H93" s="54" t="s">
        <v>60</v>
      </c>
      <c r="I93" s="54" t="s">
        <v>415</v>
      </c>
      <c r="J93" s="54" t="s">
        <v>344</v>
      </c>
      <c r="K93" s="54" t="s">
        <v>345</v>
      </c>
      <c r="L93" s="54" t="s">
        <v>346</v>
      </c>
    </row>
    <row r="94" spans="1:12" x14ac:dyDescent="0.25">
      <c r="B94" s="66"/>
      <c r="C94" s="57" t="str">
        <f>i18n[Sheet]&amp;"_"&amp;i18n[Typ]&amp;"_"&amp;i18n[ID]</f>
        <v>L_DLG_LNew_LName</v>
      </c>
      <c r="D94" s="67" t="s">
        <v>146</v>
      </c>
      <c r="E94" s="54" t="s">
        <v>151</v>
      </c>
      <c r="F94" s="54" t="s">
        <v>268</v>
      </c>
      <c r="G94" s="54" t="s">
        <v>270</v>
      </c>
      <c r="H94" s="54" t="s">
        <v>270</v>
      </c>
      <c r="I94" s="54" t="s">
        <v>365</v>
      </c>
      <c r="J94" s="54" t="s">
        <v>344</v>
      </c>
      <c r="K94" s="54" t="s">
        <v>345</v>
      </c>
      <c r="L94" s="54" t="s">
        <v>346</v>
      </c>
    </row>
    <row r="95" spans="1:12" x14ac:dyDescent="0.25">
      <c r="B95" s="66"/>
      <c r="C95" s="57" t="str">
        <f>i18n[Sheet]&amp;"_"&amp;i18n[Typ]&amp;"_"&amp;i18n[ID]</f>
        <v>L_DLG_LNew_LDT</v>
      </c>
      <c r="D95" s="67" t="s">
        <v>146</v>
      </c>
      <c r="E95" s="54" t="s">
        <v>151</v>
      </c>
      <c r="F95" s="54" t="s">
        <v>269</v>
      </c>
      <c r="G95" s="54" t="s">
        <v>271</v>
      </c>
      <c r="H95" s="54" t="s">
        <v>284</v>
      </c>
      <c r="I95" s="54" t="s">
        <v>416</v>
      </c>
      <c r="J95" s="54" t="s">
        <v>344</v>
      </c>
      <c r="K95" s="54" t="s">
        <v>345</v>
      </c>
      <c r="L95" s="54" t="s">
        <v>346</v>
      </c>
    </row>
    <row r="96" spans="1:12" x14ac:dyDescent="0.25">
      <c r="B96" s="66"/>
      <c r="C96" s="57" t="str">
        <f>i18n[Sheet]&amp;"_"&amp;i18n[Typ]&amp;"_"&amp;i18n[ID]</f>
        <v>L_DLG_LNew_Ok</v>
      </c>
      <c r="D96" s="67" t="s">
        <v>146</v>
      </c>
      <c r="E96" s="54" t="s">
        <v>151</v>
      </c>
      <c r="F96" s="54" t="s">
        <v>275</v>
      </c>
      <c r="G96" s="54" t="s">
        <v>272</v>
      </c>
      <c r="H96" s="54" t="s">
        <v>285</v>
      </c>
      <c r="I96" s="54" t="s">
        <v>418</v>
      </c>
      <c r="J96" s="54" t="s">
        <v>344</v>
      </c>
      <c r="K96" s="54" t="s">
        <v>345</v>
      </c>
      <c r="L96" s="54" t="s">
        <v>346</v>
      </c>
    </row>
    <row r="97" spans="2:12" x14ac:dyDescent="0.25">
      <c r="B97" s="66"/>
      <c r="C97" s="57" t="str">
        <f>i18n[Sheet]&amp;"_"&amp;i18n[Typ]&amp;"_"&amp;i18n[ID]</f>
        <v>L_DLG_LNew_False</v>
      </c>
      <c r="D97" s="67" t="s">
        <v>146</v>
      </c>
      <c r="E97" s="54" t="s">
        <v>151</v>
      </c>
      <c r="F97" s="54" t="s">
        <v>274</v>
      </c>
      <c r="G97" s="54" t="s">
        <v>273</v>
      </c>
      <c r="H97" s="54" t="s">
        <v>286</v>
      </c>
      <c r="I97" s="54" t="s">
        <v>417</v>
      </c>
      <c r="J97" s="54" t="s">
        <v>344</v>
      </c>
      <c r="K97" s="54" t="s">
        <v>345</v>
      </c>
      <c r="L97" s="54" t="s">
        <v>346</v>
      </c>
    </row>
    <row r="98" spans="2:12" x14ac:dyDescent="0.25">
      <c r="C98" s="57" t="str">
        <f>i18n[Sheet]&amp;"_"&amp;i18n[Typ]&amp;"_"&amp;i18n[ID]</f>
        <v>G_SH_CommU</v>
      </c>
      <c r="D98" s="54" t="s">
        <v>118</v>
      </c>
      <c r="E98" s="54" t="s">
        <v>111</v>
      </c>
      <c r="F98" s="54" t="s">
        <v>309</v>
      </c>
      <c r="G98" s="54" t="s">
        <v>313</v>
      </c>
      <c r="H98" s="54" t="s">
        <v>325</v>
      </c>
      <c r="I98" s="54" t="s">
        <v>425</v>
      </c>
      <c r="J98" s="54" t="s">
        <v>344</v>
      </c>
      <c r="K98" s="54" t="s">
        <v>345</v>
      </c>
      <c r="L98" s="54" t="s">
        <v>346</v>
      </c>
    </row>
    <row r="99" spans="2:12" x14ac:dyDescent="0.25">
      <c r="C99" s="57" t="str">
        <f>i18n[Sheet]&amp;"_"&amp;i18n[Typ]&amp;"_"&amp;i18n[ID]</f>
        <v>L_SH_H1</v>
      </c>
      <c r="D99" s="54" t="s">
        <v>146</v>
      </c>
      <c r="E99" s="54" t="s">
        <v>111</v>
      </c>
      <c r="F99" s="54" t="s">
        <v>242</v>
      </c>
      <c r="G99" s="54" t="s">
        <v>59</v>
      </c>
      <c r="H99" s="54" t="s">
        <v>326</v>
      </c>
      <c r="I99" t="s">
        <v>426</v>
      </c>
      <c r="J99" s="54" t="s">
        <v>344</v>
      </c>
      <c r="K99" s="54" t="s">
        <v>345</v>
      </c>
      <c r="L99" s="54" t="s">
        <v>346</v>
      </c>
    </row>
    <row r="100" spans="2:12" x14ac:dyDescent="0.25">
      <c r="C100" s="57" t="str">
        <f>i18n[Sheet]&amp;"_"&amp;i18n[Typ]&amp;"_"&amp;i18n[ID]</f>
        <v>L_SH_H2</v>
      </c>
      <c r="D100" s="54" t="s">
        <v>146</v>
      </c>
      <c r="E100" s="54" t="s">
        <v>111</v>
      </c>
      <c r="F100" s="54" t="s">
        <v>113</v>
      </c>
      <c r="G100" s="54" t="s">
        <v>61</v>
      </c>
      <c r="H100" s="54" t="s">
        <v>327</v>
      </c>
      <c r="I100" s="54" t="s">
        <v>427</v>
      </c>
      <c r="J100" s="54" t="s">
        <v>344</v>
      </c>
      <c r="K100" s="54" t="s">
        <v>345</v>
      </c>
      <c r="L100" s="54" t="s">
        <v>346</v>
      </c>
    </row>
    <row r="101" spans="2:12" x14ac:dyDescent="0.25">
      <c r="C101" s="70" t="str">
        <f>i18n[Sheet]&amp;"_"&amp;i18n[Typ]&amp;"_"&amp;i18n[ID]</f>
        <v>L_SH_H3</v>
      </c>
      <c r="D101" s="54" t="s">
        <v>146</v>
      </c>
      <c r="E101" s="54" t="s">
        <v>111</v>
      </c>
      <c r="F101" s="54" t="s">
        <v>310</v>
      </c>
      <c r="G101" s="54" t="s">
        <v>62</v>
      </c>
      <c r="H101" s="54" t="s">
        <v>328</v>
      </c>
      <c r="I101" s="54" t="s">
        <v>428</v>
      </c>
      <c r="J101" s="54" t="s">
        <v>344</v>
      </c>
      <c r="K101" s="54" t="s">
        <v>345</v>
      </c>
      <c r="L101" s="54" t="s">
        <v>346</v>
      </c>
    </row>
    <row r="102" spans="2:12" x14ac:dyDescent="0.25">
      <c r="C102" s="70" t="str">
        <f>i18n[Sheet]&amp;"_"&amp;i18n[Typ]&amp;"_"&amp;i18n[ID]</f>
        <v>FT_MB_M1</v>
      </c>
      <c r="D102" s="54" t="s">
        <v>110</v>
      </c>
      <c r="E102" s="54" t="s">
        <v>314</v>
      </c>
      <c r="F102" s="54" t="s">
        <v>315</v>
      </c>
      <c r="G102" s="54" t="s">
        <v>319</v>
      </c>
      <c r="H102" s="54" t="s">
        <v>320</v>
      </c>
      <c r="I102" s="54" t="s">
        <v>429</v>
      </c>
      <c r="J102" s="54" t="s">
        <v>344</v>
      </c>
      <c r="K102" s="54" t="s">
        <v>345</v>
      </c>
      <c r="L102" s="54" t="s">
        <v>346</v>
      </c>
    </row>
    <row r="103" spans="2:12" x14ac:dyDescent="0.25">
      <c r="C103" s="70" t="str">
        <f>i18n[Sheet]&amp;"_"&amp;i18n[Typ]&amp;"_"&amp;i18n[ID]</f>
        <v>FT_MB_M2</v>
      </c>
      <c r="D103" s="54" t="s">
        <v>110</v>
      </c>
      <c r="E103" s="54" t="s">
        <v>314</v>
      </c>
      <c r="F103" s="54" t="s">
        <v>316</v>
      </c>
      <c r="G103" s="54" t="s">
        <v>317</v>
      </c>
      <c r="H103" s="54" t="s">
        <v>318</v>
      </c>
      <c r="I103" s="54" t="s">
        <v>430</v>
      </c>
      <c r="J103" s="54" t="s">
        <v>344</v>
      </c>
      <c r="K103" s="54" t="s">
        <v>345</v>
      </c>
      <c r="L103" s="54" t="s">
        <v>346</v>
      </c>
    </row>
    <row r="104" spans="2:12" x14ac:dyDescent="0.25">
      <c r="C104" s="70" t="str">
        <f>i18n[Sheet]&amp;"_"&amp;i18n[Typ]&amp;"_"&amp;i18n[ID]</f>
        <v>L_MB_M1</v>
      </c>
      <c r="D104" s="54" t="s">
        <v>146</v>
      </c>
      <c r="E104" s="54" t="s">
        <v>314</v>
      </c>
      <c r="F104" s="54" t="s">
        <v>315</v>
      </c>
      <c r="G104" s="54" t="s">
        <v>321</v>
      </c>
      <c r="H104" s="54" t="s">
        <v>322</v>
      </c>
      <c r="I104" s="54" t="s">
        <v>431</v>
      </c>
      <c r="J104" s="54" t="s">
        <v>344</v>
      </c>
      <c r="K104" s="54" t="s">
        <v>345</v>
      </c>
      <c r="L104" s="54" t="s">
        <v>346</v>
      </c>
    </row>
    <row r="105" spans="2:12" x14ac:dyDescent="0.25">
      <c r="C105" s="70" t="str">
        <f>i18n[Sheet]&amp;"_"&amp;i18n[Typ]&amp;"_"&amp;i18n[ID]</f>
        <v>L_MB_M2</v>
      </c>
      <c r="D105" s="54" t="s">
        <v>146</v>
      </c>
      <c r="E105" s="54" t="s">
        <v>314</v>
      </c>
      <c r="F105" s="54" t="s">
        <v>316</v>
      </c>
      <c r="G105" s="54" t="s">
        <v>323</v>
      </c>
      <c r="H105" s="54" t="s">
        <v>324</v>
      </c>
      <c r="I105" s="54" t="s">
        <v>432</v>
      </c>
      <c r="J105" s="54" t="s">
        <v>344</v>
      </c>
      <c r="K105" s="54" t="s">
        <v>345</v>
      </c>
      <c r="L105" s="54" t="s">
        <v>346</v>
      </c>
    </row>
    <row r="106" spans="2:12" x14ac:dyDescent="0.25">
      <c r="C106" s="70" t="str">
        <f>i18n[Sheet]&amp;"_"&amp;i18n[Typ]&amp;"_"&amp;i18n[ID]</f>
        <v>G_G_User</v>
      </c>
      <c r="D106" s="54" t="s">
        <v>118</v>
      </c>
      <c r="E106" s="54" t="s">
        <v>118</v>
      </c>
      <c r="F106" s="54" t="s">
        <v>76</v>
      </c>
      <c r="G106" s="54" t="s">
        <v>58</v>
      </c>
      <c r="H106" s="54" t="s">
        <v>76</v>
      </c>
      <c r="I106" s="54" t="s">
        <v>413</v>
      </c>
      <c r="J106" s="54" t="s">
        <v>344</v>
      </c>
      <c r="K106" s="54" t="s">
        <v>345</v>
      </c>
      <c r="L106" s="54" t="s">
        <v>346</v>
      </c>
    </row>
    <row r="107" spans="2:12" x14ac:dyDescent="0.25">
      <c r="C107" s="70" t="str">
        <f>i18n[Sheet]&amp;"_"&amp;i18n[Typ]&amp;"_"&amp;i18n[ID]</f>
        <v>G_G_BusinessAdmin</v>
      </c>
      <c r="D107" s="54" t="s">
        <v>118</v>
      </c>
      <c r="E107" s="54" t="s">
        <v>118</v>
      </c>
      <c r="F107" s="54" t="s">
        <v>339</v>
      </c>
      <c r="G107" s="54" t="s">
        <v>340</v>
      </c>
      <c r="H107" s="54" t="s">
        <v>341</v>
      </c>
      <c r="I107" s="54" t="s">
        <v>433</v>
      </c>
      <c r="J107" s="54" t="s">
        <v>344</v>
      </c>
      <c r="K107" s="54" t="s">
        <v>345</v>
      </c>
      <c r="L107" s="54" t="s">
        <v>346</v>
      </c>
    </row>
    <row r="108" spans="2:12" x14ac:dyDescent="0.25">
      <c r="C108" s="70" t="str">
        <f>i18n[Sheet]&amp;"_"&amp;i18n[Typ]&amp;"_"&amp;i18n[ID]</f>
        <v>G_G_Developer</v>
      </c>
      <c r="D108" s="54" t="s">
        <v>118</v>
      </c>
      <c r="E108" s="54" t="s">
        <v>118</v>
      </c>
      <c r="F108" s="54" t="s">
        <v>342</v>
      </c>
      <c r="G108" s="54" t="s">
        <v>343</v>
      </c>
      <c r="H108" s="54" t="s">
        <v>342</v>
      </c>
      <c r="I108" s="54" t="s">
        <v>434</v>
      </c>
      <c r="J108" s="54" t="s">
        <v>344</v>
      </c>
      <c r="K108" s="54" t="s">
        <v>345</v>
      </c>
      <c r="L108" s="54" t="s">
        <v>346</v>
      </c>
    </row>
  </sheetData>
  <dataConsolidate link="1"/>
  <dataValidations count="1">
    <dataValidation type="list" allowBlank="1" showInputMessage="1" showErrorMessage="1" sqref="E9:E101">
      <formula1>"DLG,SH,L,BTN,G"</formula1>
    </dataValidation>
  </dataValidations>
  <hyperlinks>
    <hyperlink ref="L5" location="Blattvorlage!A1" display="Blattvorlage!A1"/>
  </hyperlinks>
  <pageMargins left="0.25" right="0.25" top="0.75" bottom="0.75" header="0.3" footer="0.3"/>
  <pageSetup paperSize="9" scale="32" orientation="portrait" horizont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B_Verb"/>
  <dimension ref="A1:R66"/>
  <sheetViews>
    <sheetView showGridLines="0" zoomScaleNormal="100" workbookViewId="0"/>
  </sheetViews>
  <sheetFormatPr baseColWidth="10" defaultRowHeight="15" x14ac:dyDescent="0.25"/>
  <cols>
    <col min="1" max="1" width="3.28515625" style="13" customWidth="1"/>
    <col min="2" max="2" width="2.5703125" customWidth="1"/>
    <col min="3" max="3" width="22.85546875" customWidth="1"/>
    <col min="4" max="4" width="3" customWidth="1"/>
    <col min="5" max="5" width="12.7109375" customWidth="1"/>
    <col min="6" max="6" width="3.28515625" customWidth="1"/>
    <col min="7" max="7" width="22.42578125" customWidth="1"/>
    <col min="8" max="8" width="27" customWidth="1"/>
    <col min="9" max="9" width="34.42578125" customWidth="1"/>
    <col min="10" max="10" width="5" customWidth="1"/>
    <col min="11" max="11" width="11.42578125" customWidth="1"/>
    <col min="12" max="12" width="19.5703125" customWidth="1"/>
    <col min="16" max="16" width="22.85546875" customWidth="1"/>
    <col min="18" max="18" width="11.42578125" customWidth="1"/>
  </cols>
  <sheetData>
    <row r="1" spans="1:18" s="13" customFormat="1" x14ac:dyDescent="0.25">
      <c r="A1" s="13" t="s">
        <v>39</v>
      </c>
    </row>
    <row r="2" spans="1:18" s="16" customFormat="1" ht="23.1" customHeight="1" x14ac:dyDescent="0.35">
      <c r="A2" s="18"/>
      <c r="C2" s="16" t="s">
        <v>13</v>
      </c>
    </row>
    <row r="3" spans="1:18" s="20" customFormat="1" ht="23.1" customHeight="1" x14ac:dyDescent="0.25">
      <c r="A3" s="21"/>
      <c r="C3" s="20" t="s">
        <v>14</v>
      </c>
      <c r="E3" s="22"/>
    </row>
    <row r="4" spans="1:18" s="20" customFormat="1" ht="23.1" customHeight="1" x14ac:dyDescent="0.25">
      <c r="A4" s="21"/>
      <c r="E4" s="22"/>
      <c r="L4" s="24" t="s">
        <v>37</v>
      </c>
    </row>
    <row r="5" spans="1:18" s="17" customFormat="1" ht="23.1" customHeight="1" x14ac:dyDescent="0.25">
      <c r="A5" s="19"/>
      <c r="C5" s="91" t="s">
        <v>45</v>
      </c>
      <c r="L5" s="91" t="str">
        <f>gModus</f>
        <v>Anwender</v>
      </c>
    </row>
    <row r="6" spans="1:18" s="11" customFormat="1" ht="15.75" x14ac:dyDescent="0.25">
      <c r="A6" s="14"/>
    </row>
    <row r="7" spans="1:18" ht="15.75" thickBot="1" x14ac:dyDescent="0.3">
      <c r="C7" s="4" t="s">
        <v>12</v>
      </c>
      <c r="D7" s="3"/>
      <c r="E7" s="3"/>
      <c r="F7" s="3"/>
      <c r="G7" s="3"/>
      <c r="H7" s="3"/>
      <c r="I7" s="3"/>
      <c r="K7" s="43"/>
      <c r="L7" s="43"/>
    </row>
    <row r="8" spans="1:18" x14ac:dyDescent="0.25">
      <c r="C8" s="1" t="s">
        <v>11</v>
      </c>
      <c r="D8" s="1"/>
      <c r="E8" s="1" t="s">
        <v>10</v>
      </c>
      <c r="F8" s="1"/>
      <c r="G8" s="1" t="s">
        <v>9</v>
      </c>
      <c r="H8" s="1" t="s">
        <v>8</v>
      </c>
      <c r="K8" s="46" t="s">
        <v>79</v>
      </c>
      <c r="M8" s="25" t="s">
        <v>449</v>
      </c>
    </row>
    <row r="9" spans="1:18" x14ac:dyDescent="0.25">
      <c r="C9" s="100" t="s">
        <v>16</v>
      </c>
      <c r="D9" s="99"/>
      <c r="E9" s="100" t="s">
        <v>546</v>
      </c>
      <c r="F9" s="7"/>
      <c r="G9" s="100"/>
      <c r="H9" s="101"/>
      <c r="I9" s="95" t="s">
        <v>7</v>
      </c>
      <c r="K9" s="45" t="s">
        <v>75</v>
      </c>
      <c r="L9" s="45" t="s">
        <v>74</v>
      </c>
      <c r="M9" s="45" t="s">
        <v>10</v>
      </c>
      <c r="N9" s="45" t="s">
        <v>76</v>
      </c>
      <c r="O9" s="45" t="s">
        <v>8</v>
      </c>
      <c r="P9" s="45" t="s">
        <v>77</v>
      </c>
    </row>
    <row r="10" spans="1:18" ht="4.5" customHeight="1" x14ac:dyDescent="0.25">
      <c r="C10" s="6"/>
      <c r="D10" s="6"/>
      <c r="E10" s="9"/>
      <c r="F10" s="6"/>
      <c r="G10" s="6"/>
      <c r="H10" s="6"/>
      <c r="I10" s="2"/>
      <c r="K10" s="34"/>
      <c r="L10" s="34"/>
      <c r="M10" s="34"/>
      <c r="N10" s="34"/>
      <c r="O10" s="34"/>
      <c r="P10" s="34"/>
    </row>
    <row r="11" spans="1:18" x14ac:dyDescent="0.25">
      <c r="C11" s="158" t="s">
        <v>732</v>
      </c>
      <c r="D11" s="159"/>
      <c r="E11" s="159"/>
      <c r="F11" s="159"/>
      <c r="G11" s="159"/>
      <c r="H11" s="159"/>
      <c r="I11" s="159"/>
      <c r="J11" s="26"/>
      <c r="K11" s="41"/>
      <c r="L11" s="41"/>
      <c r="M11" s="41" t="s">
        <v>546</v>
      </c>
      <c r="N11" s="41"/>
      <c r="O11" s="117"/>
      <c r="P11" s="41"/>
      <c r="Q11" s="44" t="s">
        <v>80</v>
      </c>
      <c r="R11" s="50"/>
    </row>
    <row r="12" spans="1:18" ht="16.5" customHeight="1" x14ac:dyDescent="0.25">
      <c r="C12" s="1"/>
      <c r="D12" s="1"/>
      <c r="H12" s="1"/>
      <c r="I12" s="1"/>
      <c r="J12" s="26"/>
      <c r="K12" s="41"/>
      <c r="L12" s="41"/>
      <c r="M12" s="41" t="s">
        <v>546</v>
      </c>
      <c r="N12" s="41"/>
      <c r="O12" s="117"/>
      <c r="P12" s="41"/>
      <c r="Q12" s="44" t="s">
        <v>80</v>
      </c>
      <c r="R12" s="50"/>
    </row>
    <row r="13" spans="1:18" ht="16.5" customHeight="1" thickBot="1" x14ac:dyDescent="0.3">
      <c r="C13" s="4" t="s">
        <v>21</v>
      </c>
      <c r="D13" s="3"/>
      <c r="E13" s="3"/>
      <c r="F13" s="3"/>
      <c r="G13" s="3"/>
      <c r="H13" s="3"/>
      <c r="I13" s="3"/>
      <c r="J13" s="26"/>
      <c r="K13" s="41"/>
      <c r="L13" s="41"/>
      <c r="M13" s="41" t="s">
        <v>546</v>
      </c>
      <c r="N13" s="41"/>
      <c r="O13" s="117"/>
      <c r="P13" s="41"/>
      <c r="Q13" s="44" t="s">
        <v>80</v>
      </c>
      <c r="R13" s="50"/>
    </row>
    <row r="14" spans="1:18" ht="16.5" customHeight="1" x14ac:dyDescent="0.25">
      <c r="C14" t="s">
        <v>22</v>
      </c>
      <c r="E14" t="s">
        <v>652</v>
      </c>
      <c r="H14" s="1"/>
      <c r="I14" s="1"/>
      <c r="J14" s="26"/>
      <c r="K14" s="41"/>
      <c r="L14" s="41"/>
      <c r="M14" s="41" t="s">
        <v>546</v>
      </c>
      <c r="N14" s="41"/>
      <c r="O14" s="117"/>
      <c r="P14" s="41"/>
      <c r="Q14" s="44" t="s">
        <v>80</v>
      </c>
      <c r="R14" s="50"/>
    </row>
    <row r="15" spans="1:18" ht="16.5" customHeight="1" x14ac:dyDescent="0.25">
      <c r="C15" t="s">
        <v>23</v>
      </c>
      <c r="E15" t="s">
        <v>29</v>
      </c>
      <c r="H15" s="1"/>
      <c r="I15" s="1"/>
      <c r="J15" s="26"/>
      <c r="K15" s="41"/>
      <c r="L15" s="41"/>
      <c r="M15" s="41" t="s">
        <v>546</v>
      </c>
      <c r="N15" s="41"/>
      <c r="O15" s="117"/>
      <c r="P15" s="41"/>
      <c r="Q15" s="44" t="s">
        <v>80</v>
      </c>
      <c r="R15" s="50"/>
    </row>
    <row r="16" spans="1:18" ht="16.5" customHeight="1" x14ac:dyDescent="0.25">
      <c r="C16" t="s">
        <v>25</v>
      </c>
      <c r="E16" t="s">
        <v>653</v>
      </c>
      <c r="H16" s="1"/>
      <c r="I16" s="1"/>
      <c r="J16" s="26"/>
      <c r="K16" s="41"/>
      <c r="L16" s="41"/>
      <c r="M16" s="41" t="s">
        <v>546</v>
      </c>
      <c r="N16" s="41"/>
      <c r="O16" s="117"/>
      <c r="P16" s="41"/>
      <c r="Q16" s="44" t="s">
        <v>80</v>
      </c>
      <c r="R16" s="50"/>
    </row>
    <row r="17" spans="1:18" x14ac:dyDescent="0.25">
      <c r="J17" s="26"/>
      <c r="K17" s="41"/>
      <c r="L17" s="41"/>
      <c r="M17" s="41" t="s">
        <v>546</v>
      </c>
      <c r="N17" s="41"/>
      <c r="O17" s="117"/>
      <c r="P17" s="41"/>
      <c r="Q17" s="44" t="s">
        <v>80</v>
      </c>
      <c r="R17" s="50"/>
    </row>
    <row r="18" spans="1:18" ht="15.75" thickBot="1" x14ac:dyDescent="0.3">
      <c r="C18" s="4" t="s">
        <v>19</v>
      </c>
      <c r="D18" s="3"/>
      <c r="E18" s="3"/>
      <c r="F18" s="3"/>
      <c r="G18" s="3"/>
      <c r="H18" s="3"/>
      <c r="I18" s="3"/>
      <c r="J18" s="26"/>
      <c r="K18" s="41" t="s">
        <v>78</v>
      </c>
      <c r="L18" s="41"/>
      <c r="M18" s="41" t="s">
        <v>546</v>
      </c>
      <c r="N18" s="41"/>
      <c r="O18" s="117"/>
      <c r="P18" s="41"/>
      <c r="Q18" s="44" t="s">
        <v>80</v>
      </c>
      <c r="R18" s="50"/>
    </row>
    <row r="19" spans="1:18" x14ac:dyDescent="0.25">
      <c r="C19" s="1"/>
      <c r="D19" s="1"/>
      <c r="E19" s="1"/>
      <c r="F19" s="1"/>
      <c r="G19" s="1"/>
      <c r="H19" s="1"/>
      <c r="J19" s="26"/>
      <c r="K19" s="42" t="s">
        <v>78</v>
      </c>
      <c r="L19" s="42"/>
      <c r="M19" s="41" t="s">
        <v>546</v>
      </c>
      <c r="N19" s="41"/>
      <c r="O19" s="117"/>
      <c r="P19" s="42"/>
      <c r="Q19" s="44" t="s">
        <v>80</v>
      </c>
      <c r="R19" s="50"/>
    </row>
    <row r="20" spans="1:18" x14ac:dyDescent="0.25">
      <c r="C20" s="100" t="s">
        <v>731</v>
      </c>
      <c r="D20" s="7"/>
      <c r="H20" s="25" t="s">
        <v>6</v>
      </c>
      <c r="I20" s="98" t="s">
        <v>26</v>
      </c>
      <c r="J20" s="98"/>
      <c r="K20" s="42" t="s">
        <v>78</v>
      </c>
      <c r="L20" s="42"/>
      <c r="M20" s="41" t="s">
        <v>546</v>
      </c>
      <c r="N20" s="41"/>
      <c r="O20" s="117"/>
      <c r="P20" s="42"/>
      <c r="Q20" s="44" t="s">
        <v>80</v>
      </c>
      <c r="R20" s="50"/>
    </row>
    <row r="21" spans="1:18" ht="3.75" customHeight="1" x14ac:dyDescent="0.25">
      <c r="C21" s="6"/>
      <c r="D21" s="6"/>
      <c r="I21" s="98"/>
      <c r="J21" s="98"/>
    </row>
    <row r="22" spans="1:18" x14ac:dyDescent="0.25">
      <c r="C22" s="158" t="s">
        <v>733</v>
      </c>
      <c r="D22" s="160"/>
      <c r="E22" s="160"/>
      <c r="F22" s="160"/>
      <c r="G22" s="160"/>
      <c r="H22" s="160"/>
      <c r="I22" s="160"/>
      <c r="K22" s="43"/>
    </row>
    <row r="23" spans="1:18" x14ac:dyDescent="0.25">
      <c r="C23" s="5"/>
    </row>
    <row r="24" spans="1:18" ht="15.75" thickBot="1" x14ac:dyDescent="0.3">
      <c r="A24" s="13" t="s">
        <v>39</v>
      </c>
      <c r="C24" s="4" t="s">
        <v>20</v>
      </c>
      <c r="D24" s="3"/>
      <c r="E24" s="3"/>
      <c r="F24" s="3"/>
      <c r="G24" s="3"/>
      <c r="H24" s="3"/>
      <c r="I24" s="3"/>
    </row>
    <row r="25" spans="1:18" x14ac:dyDescent="0.25">
      <c r="A25" s="13" t="s">
        <v>39</v>
      </c>
      <c r="C25" t="s">
        <v>475</v>
      </c>
      <c r="G25" s="98" t="s">
        <v>30</v>
      </c>
      <c r="H25" s="98" t="s">
        <v>32</v>
      </c>
      <c r="I25" s="51"/>
    </row>
    <row r="26" spans="1:18" x14ac:dyDescent="0.25">
      <c r="A26" s="13" t="s">
        <v>39</v>
      </c>
      <c r="C26" s="54" t="s">
        <v>539</v>
      </c>
      <c r="G26" s="98" t="s">
        <v>31</v>
      </c>
      <c r="H26" s="98" t="s">
        <v>33</v>
      </c>
      <c r="I26" s="51"/>
    </row>
    <row r="27" spans="1:18" x14ac:dyDescent="0.25">
      <c r="A27" s="13" t="s">
        <v>39</v>
      </c>
      <c r="C27" t="s">
        <v>5</v>
      </c>
      <c r="G27" s="52"/>
      <c r="H27" s="51"/>
      <c r="I27" s="51"/>
    </row>
    <row r="28" spans="1:18" x14ac:dyDescent="0.25">
      <c r="A28" s="13" t="s">
        <v>39</v>
      </c>
      <c r="C28" t="s">
        <v>4</v>
      </c>
    </row>
    <row r="30" spans="1:18" ht="15.75" thickBot="1" x14ac:dyDescent="0.3">
      <c r="C30" s="4" t="s">
        <v>24</v>
      </c>
      <c r="D30" s="3"/>
      <c r="E30" s="3"/>
      <c r="F30" s="3"/>
      <c r="G30" s="3"/>
      <c r="H30" s="3"/>
      <c r="I30" s="3"/>
    </row>
    <row r="32" spans="1:18" x14ac:dyDescent="0.25">
      <c r="C32" s="25"/>
      <c r="F32" s="1"/>
    </row>
    <row r="33" spans="1:9" s="40" customFormat="1" x14ac:dyDescent="0.25">
      <c r="A33" s="13"/>
      <c r="C33" s="98" t="s">
        <v>3</v>
      </c>
      <c r="D33"/>
      <c r="E33"/>
      <c r="F33" s="1" t="s">
        <v>2</v>
      </c>
      <c r="G33"/>
      <c r="H33"/>
    </row>
    <row r="34" spans="1:9" s="36" customFormat="1" x14ac:dyDescent="0.25">
      <c r="A34" s="97"/>
      <c r="C34" s="96"/>
      <c r="F34" s="26"/>
    </row>
    <row r="35" spans="1:9" s="36" customFormat="1" x14ac:dyDescent="0.25">
      <c r="A35" s="97"/>
      <c r="C35" s="98" t="s">
        <v>1</v>
      </c>
      <c r="F35" s="26"/>
    </row>
    <row r="36" spans="1:9" s="36" customFormat="1" x14ac:dyDescent="0.25">
      <c r="A36" s="97"/>
      <c r="C36" s="96"/>
      <c r="F36" s="26"/>
    </row>
    <row r="37" spans="1:9" s="36" customFormat="1" x14ac:dyDescent="0.25">
      <c r="A37" s="97"/>
    </row>
    <row r="38" spans="1:9" x14ac:dyDescent="0.25">
      <c r="C38" s="25"/>
      <c r="F38" s="1"/>
      <c r="I38" s="1"/>
    </row>
    <row r="60" spans="1:8" x14ac:dyDescent="0.25">
      <c r="C60" s="2" t="s">
        <v>1</v>
      </c>
      <c r="H60" s="1" t="s">
        <v>0</v>
      </c>
    </row>
    <row r="62" spans="1:8" x14ac:dyDescent="0.25">
      <c r="A62" s="13" t="s">
        <v>39</v>
      </c>
      <c r="C62" s="2" t="s">
        <v>34</v>
      </c>
      <c r="G62" s="8" t="s">
        <v>35</v>
      </c>
      <c r="H62" s="1" t="s">
        <v>36</v>
      </c>
    </row>
    <row r="64" spans="1:8" x14ac:dyDescent="0.25">
      <c r="A64" s="13" t="s">
        <v>39</v>
      </c>
      <c r="C64" s="2" t="s">
        <v>17</v>
      </c>
      <c r="H64" s="1" t="s">
        <v>18</v>
      </c>
    </row>
    <row r="66" spans="1:8" x14ac:dyDescent="0.25">
      <c r="A66" s="13" t="s">
        <v>39</v>
      </c>
      <c r="C66" s="2" t="s">
        <v>27</v>
      </c>
      <c r="H66" s="1" t="s">
        <v>28</v>
      </c>
    </row>
  </sheetData>
  <dataConsolidate/>
  <mergeCells count="2">
    <mergeCell ref="C11:I11"/>
    <mergeCell ref="C22:I22"/>
  </mergeCells>
  <conditionalFormatting sqref="G9:H9">
    <cfRule type="expression" dxfId="2" priority="4">
      <formula>$E$9="true"</formula>
    </cfRule>
  </conditionalFormatting>
  <conditionalFormatting sqref="N11:O12">
    <cfRule type="expression" dxfId="1" priority="3">
      <formula>$M11="true"</formula>
    </cfRule>
  </conditionalFormatting>
  <conditionalFormatting sqref="N13:O20">
    <cfRule type="expression" dxfId="0" priority="1">
      <formula>$M13="true"</formula>
    </cfRule>
  </conditionalFormatting>
  <dataValidations count="1">
    <dataValidation type="list" allowBlank="1" showInputMessage="1" showErrorMessage="1" sqref="E9 M11:M20">
      <formula1>"True,False"</formula1>
    </dataValidation>
  </dataValidations>
  <hyperlinks>
    <hyperlink ref="C5" location="DB!A1" display="Start"/>
    <hyperlink ref="L5" location="DB!A1" display="DB!A1"/>
    <hyperlink ref="Q11" location="DB!A1" display="Übernehmen"/>
    <hyperlink ref="Q12" location="DB!A1" display="Übernehmen"/>
    <hyperlink ref="Q13" location="DB!A1" display="Übernehmen"/>
    <hyperlink ref="Q14" location="DB!A1" display="Übernehmen"/>
    <hyperlink ref="Q15" location="DB!A1" display="Übernehmen"/>
    <hyperlink ref="Q16" location="DB!A1" display="Übernehmen"/>
    <hyperlink ref="Q17" location="DB!A1" display="Übernehmen"/>
    <hyperlink ref="Q18" location="DB!A1" display="Übernehmen"/>
    <hyperlink ref="Q19" location="DB!A1" display="Übernehmen"/>
    <hyperlink ref="Q20" location="DB!A1" display="Übernehmen"/>
    <hyperlink ref="M8" location="DB!A1" display="Speichern"/>
    <hyperlink ref="I9" location="DB!A1" display="Konfiguration testen"/>
    <hyperlink ref="C35" location="DB!A1" display="DB_* Verbindungen updaten"/>
    <hyperlink ref="G25" location="DB!A1" display="Tabelle anzeigen"/>
    <hyperlink ref="G26" location="DB!A1" display="Sicht anzeigen"/>
    <hyperlink ref="H25" location="DB!A1" display="Tabelle als Pivot anzeigen"/>
    <hyperlink ref="H26" location="DB!A1" display="Sicht als Pivot anzeigen"/>
    <hyperlink ref="C33" location="DB!A1" display="Skriptfenster"/>
    <hyperlink ref="I20" location="DB!A1" display="Datenbank löschen"/>
    <hyperlink ref="H20" location="DB!A1" display="Datenbank anlege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cel_Standardinteraktion_aktivieren">
                <anchor moveWithCells="1" sizeWithCells="1">
                  <from>
                    <xdr:col>10</xdr:col>
                    <xdr:colOff>752475</xdr:colOff>
                    <xdr:row>1</xdr:row>
                    <xdr:rowOff>95250</xdr:rowOff>
                  </from>
                  <to>
                    <xdr:col>11</xdr:col>
                    <xdr:colOff>819150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46</vt:i4>
      </vt:variant>
    </vt:vector>
  </HeadingPairs>
  <TitlesOfParts>
    <vt:vector size="60" baseType="lpstr">
      <vt:lpstr>Admin</vt:lpstr>
      <vt:lpstr>Start</vt:lpstr>
      <vt:lpstr>xls2sql_Master</vt:lpstr>
      <vt:lpstr>pq2sql_Master</vt:lpstr>
      <vt:lpstr>Uplink_nach_Template</vt:lpstr>
      <vt:lpstr>PF_Uplink_Values</vt:lpstr>
      <vt:lpstr>PF_Uplink_Products</vt:lpstr>
      <vt:lpstr>PF_Uplink_ProductLines</vt:lpstr>
      <vt:lpstr>PF_Uplink_Factories</vt:lpstr>
      <vt:lpstr>Parameter</vt:lpstr>
      <vt:lpstr>Blattvorlage</vt:lpstr>
      <vt:lpstr>Pivot</vt:lpstr>
      <vt:lpstr>i18n</vt:lpstr>
      <vt:lpstr>DB</vt:lpstr>
      <vt:lpstr>dFactories</vt:lpstr>
      <vt:lpstr>dProductLines</vt:lpstr>
      <vt:lpstr>dProducts</vt:lpstr>
      <vt:lpstr>fValues</vt:lpstr>
      <vt:lpstr>gbdtDB_Database</vt:lpstr>
      <vt:lpstr>gbdtDB_DBStatus</vt:lpstr>
      <vt:lpstr>gbdtDB_FunctionList</vt:lpstr>
      <vt:lpstr>gbdtDB_Password</vt:lpstr>
      <vt:lpstr>gbdtDB_ProcedureList</vt:lpstr>
      <vt:lpstr>gbdtDB_Server</vt:lpstr>
      <vt:lpstr>gbdtDB_ServerVersion</vt:lpstr>
      <vt:lpstr>gbdtDB_SRVStatus</vt:lpstr>
      <vt:lpstr>gbdtDB_TableList</vt:lpstr>
      <vt:lpstr>gbdtDB_Trusted</vt:lpstr>
      <vt:lpstr>gbdtDB_User</vt:lpstr>
      <vt:lpstr>gbdtDB_VerbindungenWhere</vt:lpstr>
      <vt:lpstr>gbdtDB_ViewList</vt:lpstr>
      <vt:lpstr>i18nIndex</vt:lpstr>
      <vt:lpstr>Languages</vt:lpstr>
      <vt:lpstr>SaveFlag</vt:lpstr>
      <vt:lpstr>pq2sql_Master!TblCreate</vt:lpstr>
      <vt:lpstr>xls2sql_Master!TblCreate</vt:lpstr>
      <vt:lpstr>pq2sql_Master!TblNameSheet</vt:lpstr>
      <vt:lpstr>xls2sql_Master!TblNameSheet</vt:lpstr>
      <vt:lpstr>pq2sql_Master!TblNameSQL</vt:lpstr>
      <vt:lpstr>xls2sql_Master!TblNameSQL</vt:lpstr>
      <vt:lpstr>PF_Uplink_Factories!xlsDelFactories</vt:lpstr>
      <vt:lpstr>PF_Uplink_Products!xlsDelProduct</vt:lpstr>
      <vt:lpstr>xlsDelProductLine</vt:lpstr>
      <vt:lpstr>PF_Uplink_ProductLines!xlsFactoryID</vt:lpstr>
      <vt:lpstr>PF_Uplink_Products!xlsFactoryID</vt:lpstr>
      <vt:lpstr>PF_Uplink_Values!xlsFactoryID</vt:lpstr>
      <vt:lpstr>Uplink_nach_Template!xlsFactoryID</vt:lpstr>
      <vt:lpstr>PF_Uplink_Values!xlsProductID</vt:lpstr>
      <vt:lpstr>Uplink_nach_Template!xlsProductID</vt:lpstr>
      <vt:lpstr>PF_Uplink_Products!xlsProductLineID</vt:lpstr>
      <vt:lpstr>PF_Uplink_Values!xlsProductLineID</vt:lpstr>
      <vt:lpstr>Uplink_nach_Template!xlsProductLineID</vt:lpstr>
      <vt:lpstr>PF_Uplink_Factories!xlsTblName</vt:lpstr>
      <vt:lpstr>PF_Uplink_ProductLines!xlsTblName</vt:lpstr>
      <vt:lpstr>PF_Uplink_Products!xlsTblName</vt:lpstr>
      <vt:lpstr>PF_Uplink_Values!xlsTblName</vt:lpstr>
      <vt:lpstr>Uplink_nach_Template!xlsTblName</vt:lpstr>
      <vt:lpstr>PF_Uplink_Products!xlsTemplate</vt:lpstr>
      <vt:lpstr>Uplink_nach_Template!xlsValuesUplink_DelFlag</vt:lpstr>
      <vt:lpstr>xlsValuesUplink_DelFlag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2014-09-11T07:25:13Z</cp:lastPrinted>
  <dcterms:created xsi:type="dcterms:W3CDTF">2012-10-16T10:47:37Z</dcterms:created>
  <dcterms:modified xsi:type="dcterms:W3CDTF">2015-11-27T10:07:30Z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P_GUID">
    <vt:lpwstr>ac05be1b-6466-4540-b968-d2a9ce855ca8</vt:lpwstr>
  </property>
</Properties>
</file>