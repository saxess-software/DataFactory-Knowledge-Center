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ta\Desktop\"/>
    </mc:Choice>
  </mc:AlternateContent>
  <bookViews>
    <workbookView xWindow="0" yWindow="0" windowWidth="23040" windowHeight="10344"/>
  </bookViews>
  <sheets>
    <sheet name="CSVDownload" sheetId="1" r:id="rId1"/>
  </sheets>
  <functionGroups builtInGroupCount="18"/>
  <definedNames>
    <definedName name="Active_1">CSVDownload!$H$17</definedName>
    <definedName name="Active_2">CSVDownload!$H$20</definedName>
    <definedName name="Active_3">CSVDownload!$H$23</definedName>
    <definedName name="Active_4">CSVDownload!$H$26</definedName>
    <definedName name="Active_5">CSVDownload!$H$29</definedName>
    <definedName name="rDestFolder">CSVDownload!$B$14</definedName>
    <definedName name="rDownloaded_1">CSVDownload!$I$17</definedName>
    <definedName name="rDownloaded_2">CSVDownload!$I$20</definedName>
    <definedName name="rDownloaded_3">CSVDownload!$I$23</definedName>
    <definedName name="rDownloaded_4">CSVDownload!$I$26</definedName>
    <definedName name="rDownloaded_5">CSVDownload!$I$29</definedName>
    <definedName name="rPassword">CSVDownload!$I$8</definedName>
    <definedName name="rUser">CSVDownload!$I$5</definedName>
    <definedName name="URL_1">CSVDownload!$B$17</definedName>
    <definedName name="URL_2">CSVDownload!$B$20</definedName>
    <definedName name="URL_3">CSVDownload!$B$23</definedName>
    <definedName name="URL_4">CSVDownload!$B$26</definedName>
    <definedName name="URL_5">CSVDownload!$B$29</definedName>
  </definedNames>
  <calcPr calcId="171027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9" i="1" l="1"/>
  <c r="B26" i="1"/>
  <c r="B23" i="1"/>
  <c r="B20" i="1"/>
  <c r="B17" i="1"/>
</calcChain>
</file>

<file path=xl/sharedStrings.xml><?xml version="1.0" encoding="utf-8"?>
<sst xmlns="http://schemas.openxmlformats.org/spreadsheetml/2006/main" count="34" uniqueCount="23">
  <si>
    <t>Server</t>
  </si>
  <si>
    <t>https://saxess2.planning-factory.com</t>
  </si>
  <si>
    <t>Cluster</t>
  </si>
  <si>
    <t>TemplateStore_DE</t>
  </si>
  <si>
    <t>Factory (opt.)</t>
  </si>
  <si>
    <t>Productline (opt.)</t>
  </si>
  <si>
    <t>CSV Downloader</t>
  </si>
  <si>
    <t>Active</t>
  </si>
  <si>
    <t>Last Download</t>
  </si>
  <si>
    <t>URL 1 - NumericValues</t>
  </si>
  <si>
    <t>Yes</t>
  </si>
  <si>
    <t>URL 2 - TextValues</t>
  </si>
  <si>
    <t>URL 3 - Profit</t>
  </si>
  <si>
    <t>URL 4 - Balance</t>
  </si>
  <si>
    <t>URL 5 - CashValues</t>
  </si>
  <si>
    <t>BK</t>
  </si>
  <si>
    <t>User</t>
  </si>
  <si>
    <t>Password</t>
  </si>
  <si>
    <t>Destination Folder</t>
  </si>
  <si>
    <t>public@cp-datafactory.de</t>
  </si>
  <si>
    <t>Public_2016</t>
  </si>
  <si>
    <t>No</t>
  </si>
  <si>
    <t>C:\tmp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</si>
</sst>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8"/>
      <color theme="0" tint="-0.34998626667073579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Border="1"/>
    <xf numFmtId="0" fontId="1" fillId="0" borderId="0" xfId="0" applyFont="1"/>
    <xf numFmtId="0" fontId="2" fillId="0" borderId="0" xfId="0" applyFont="1"/>
    <xf numFmtId="0" fontId="0" fillId="0" borderId="4" xfId="0" applyBorder="1"/>
    <xf numFmtId="14" fontId="2" fillId="0" borderId="0" xfId="0" applyNumberFormat="1" applyFont="1"/>
    <xf numFmtId="0" fontId="2" fillId="0" borderId="0" xfId="0" applyFont="1" applyAlignment="1">
      <alignment horizontal="right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/>
    </xf>
    <xf numFmtId="0" fontId="3" fillId="0" borderId="1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251460</xdr:colOff>
          <xdr:row>15</xdr:row>
          <xdr:rowOff>99060</xdr:rowOff>
        </xdr:from>
        <xdr:to>
          <xdr:col>10</xdr:col>
          <xdr:colOff>723900</xdr:colOff>
          <xdr:row>16</xdr:row>
          <xdr:rowOff>152400</xdr:rowOff>
        </xdr:to>
        <xdr:sp macro="" textlink="">
          <xdr:nvSpPr>
            <xdr:cNvPr id="1026" name="btnDownload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Download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251460</xdr:colOff>
          <xdr:row>18</xdr:row>
          <xdr:rowOff>99060</xdr:rowOff>
        </xdr:from>
        <xdr:to>
          <xdr:col>10</xdr:col>
          <xdr:colOff>723900</xdr:colOff>
          <xdr:row>19</xdr:row>
          <xdr:rowOff>152400</xdr:rowOff>
        </xdr:to>
        <xdr:sp macro="" textlink="">
          <xdr:nvSpPr>
            <xdr:cNvPr id="1027" name="btnDownload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Download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251460</xdr:colOff>
          <xdr:row>21</xdr:row>
          <xdr:rowOff>99060</xdr:rowOff>
        </xdr:from>
        <xdr:to>
          <xdr:col>10</xdr:col>
          <xdr:colOff>723900</xdr:colOff>
          <xdr:row>22</xdr:row>
          <xdr:rowOff>152400</xdr:rowOff>
        </xdr:to>
        <xdr:sp macro="" textlink="">
          <xdr:nvSpPr>
            <xdr:cNvPr id="1028" name="btnDownload3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Download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251460</xdr:colOff>
          <xdr:row>24</xdr:row>
          <xdr:rowOff>106680</xdr:rowOff>
        </xdr:from>
        <xdr:to>
          <xdr:col>10</xdr:col>
          <xdr:colOff>723900</xdr:colOff>
          <xdr:row>25</xdr:row>
          <xdr:rowOff>160020</xdr:rowOff>
        </xdr:to>
        <xdr:sp macro="" textlink="">
          <xdr:nvSpPr>
            <xdr:cNvPr id="1029" name="btnDownload4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Download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251460</xdr:colOff>
          <xdr:row>27</xdr:row>
          <xdr:rowOff>106680</xdr:rowOff>
        </xdr:from>
        <xdr:to>
          <xdr:col>10</xdr:col>
          <xdr:colOff>723900</xdr:colOff>
          <xdr:row>28</xdr:row>
          <xdr:rowOff>160020</xdr:rowOff>
        </xdr:to>
        <xdr:sp macro="" textlink="">
          <xdr:nvSpPr>
            <xdr:cNvPr id="1030" name="btnDownload5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Download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251460</xdr:colOff>
          <xdr:row>13</xdr:row>
          <xdr:rowOff>0</xdr:rowOff>
        </xdr:from>
        <xdr:to>
          <xdr:col>10</xdr:col>
          <xdr:colOff>723900</xdr:colOff>
          <xdr:row>14</xdr:row>
          <xdr:rowOff>60960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all Active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</xdr:row>
          <xdr:rowOff>152400</xdr:rowOff>
        </xdr:from>
        <xdr:to>
          <xdr:col>7</xdr:col>
          <xdr:colOff>762000</xdr:colOff>
          <xdr:row>14</xdr:row>
          <xdr:rowOff>22860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J29"/>
  <sheetViews>
    <sheetView showGridLines="0" tabSelected="1" workbookViewId="0">
      <selection activeCell="Q19" sqref="Q19"/>
    </sheetView>
  </sheetViews>
  <sheetFormatPr baseColWidth="10" defaultColWidth="11.44140625" defaultRowHeight="14.4" x14ac:dyDescent="0.3"/>
  <cols>
    <col min="1" max="1" width="3.6640625" customWidth="1"/>
    <col min="4" max="4" width="3.33203125" customWidth="1"/>
    <col min="6" max="6" width="14.6640625" customWidth="1"/>
    <col min="7" max="7" width="2.33203125" customWidth="1"/>
  </cols>
  <sheetData>
    <row r="1" spans="2:10" ht="6.6" customHeight="1" x14ac:dyDescent="0.3"/>
    <row r="2" spans="2:10" ht="23.4" x14ac:dyDescent="0.45">
      <c r="B2" s="2" t="s">
        <v>6</v>
      </c>
    </row>
    <row r="3" spans="2:10" ht="6" customHeight="1" x14ac:dyDescent="0.3"/>
    <row r="4" spans="2:10" x14ac:dyDescent="0.3">
      <c r="B4" s="3" t="s">
        <v>0</v>
      </c>
      <c r="I4" s="3" t="s">
        <v>16</v>
      </c>
    </row>
    <row r="5" spans="2:10" x14ac:dyDescent="0.3">
      <c r="B5" s="12" t="s">
        <v>1</v>
      </c>
      <c r="C5" s="13"/>
      <c r="D5" s="13"/>
      <c r="E5" s="13"/>
      <c r="F5" s="14"/>
      <c r="I5" s="9" t="s">
        <v>19</v>
      </c>
      <c r="J5" s="11"/>
    </row>
    <row r="7" spans="2:10" x14ac:dyDescent="0.3">
      <c r="B7" s="3" t="s">
        <v>2</v>
      </c>
      <c r="I7" s="3" t="s">
        <v>17</v>
      </c>
    </row>
    <row r="8" spans="2:10" x14ac:dyDescent="0.3">
      <c r="B8" s="12" t="s">
        <v>3</v>
      </c>
      <c r="C8" s="13"/>
      <c r="D8" s="13"/>
      <c r="E8" s="13"/>
      <c r="F8" s="14"/>
      <c r="I8" s="9" t="s">
        <v>20</v>
      </c>
      <c r="J8" s="11"/>
    </row>
    <row r="10" spans="2:10" x14ac:dyDescent="0.3">
      <c r="B10" s="3" t="s">
        <v>4</v>
      </c>
      <c r="E10" s="3" t="s">
        <v>5</v>
      </c>
    </row>
    <row r="11" spans="2:10" x14ac:dyDescent="0.3">
      <c r="B11" s="12" t="s">
        <v>15</v>
      </c>
      <c r="C11" s="14"/>
      <c r="D11" s="1"/>
      <c r="E11" s="15"/>
      <c r="F11" s="16"/>
    </row>
    <row r="12" spans="2:10" x14ac:dyDescent="0.3">
      <c r="B12" s="7"/>
      <c r="C12" s="7"/>
      <c r="D12" s="1"/>
      <c r="E12" s="8"/>
      <c r="F12" s="8"/>
    </row>
    <row r="13" spans="2:10" x14ac:dyDescent="0.3">
      <c r="B13" s="3" t="s">
        <v>18</v>
      </c>
    </row>
    <row r="14" spans="2:10" x14ac:dyDescent="0.3">
      <c r="B14" s="12" t="s">
        <v>22</v>
      </c>
      <c r="C14" s="13"/>
      <c r="D14" s="13"/>
      <c r="E14" s="13"/>
      <c r="F14" s="14"/>
    </row>
    <row r="16" spans="2:10" x14ac:dyDescent="0.3">
      <c r="B16" s="3" t="s">
        <v>9</v>
      </c>
      <c r="H16" s="3" t="s">
        <v>7</v>
      </c>
      <c r="I16" s="6" t="s">
        <v>8</v>
      </c>
    </row>
    <row r="17" spans="2:9" x14ac:dyDescent="0.3">
      <c r="B17" s="9" t="str">
        <f>$B$5&amp;"/csv/NumericValues/"&amp;$B$8&amp;IF($B$11&lt;&gt;"","/"&amp;$B$11,"")&amp;IF($E$11&lt;&gt;"","/"&amp;$E$11,"")</f>
        <v>https://saxess2.planning-factory.com/csv/NumericValues/TemplateStore_DE/BK</v>
      </c>
      <c r="C17" s="10"/>
      <c r="D17" s="10"/>
      <c r="E17" s="10"/>
      <c r="F17" s="11"/>
      <c r="H17" s="4" t="s">
        <v>10</v>
      </c>
      <c r="I17" s="5">
        <v>42442</v>
      </c>
    </row>
    <row r="19" spans="2:9" x14ac:dyDescent="0.3">
      <c r="B19" s="3" t="s">
        <v>11</v>
      </c>
      <c r="H19" s="3" t="s">
        <v>7</v>
      </c>
      <c r="I19" s="6" t="s">
        <v>8</v>
      </c>
    </row>
    <row r="20" spans="2:9" x14ac:dyDescent="0.3">
      <c r="B20" s="9" t="str">
        <f>$B$5&amp;"/csv/TextValues/"&amp;$B$8&amp;IF($B$11&lt;&gt;"","/"&amp;$B$11,"")&amp;IF($E$11&lt;&gt;"","/"&amp;$E$11,"")</f>
        <v>https://saxess2.planning-factory.com/csv/TextValues/TemplateStore_DE/BK</v>
      </c>
      <c r="C20" s="10"/>
      <c r="D20" s="10"/>
      <c r="E20" s="10"/>
      <c r="F20" s="11"/>
      <c r="H20" s="4" t="s">
        <v>10</v>
      </c>
      <c r="I20" s="5">
        <v>42442</v>
      </c>
    </row>
    <row r="22" spans="2:9" x14ac:dyDescent="0.3">
      <c r="B22" s="3" t="s">
        <v>12</v>
      </c>
      <c r="H22" s="3" t="s">
        <v>7</v>
      </c>
      <c r="I22" s="6" t="s">
        <v>8</v>
      </c>
    </row>
    <row r="23" spans="2:9" x14ac:dyDescent="0.3">
      <c r="B23" s="9" t="str">
        <f>$B$5&amp;"/csv/Profit/"&amp;$B$8&amp;IF($B$11&lt;&gt;"","/"&amp;$B$11,"")&amp;IF($E$11&lt;&gt;"","/"&amp;$E$11,"")</f>
        <v>https://saxess2.planning-factory.com/csv/Profit/TemplateStore_DE/BK</v>
      </c>
      <c r="C23" s="10"/>
      <c r="D23" s="10"/>
      <c r="E23" s="10"/>
      <c r="F23" s="11"/>
      <c r="H23" s="4" t="s">
        <v>21</v>
      </c>
      <c r="I23" s="5">
        <v>42442</v>
      </c>
    </row>
    <row r="25" spans="2:9" x14ac:dyDescent="0.3">
      <c r="B25" s="3" t="s">
        <v>13</v>
      </c>
      <c r="H25" s="3" t="s">
        <v>7</v>
      </c>
      <c r="I25" s="6" t="s">
        <v>8</v>
      </c>
    </row>
    <row r="26" spans="2:9" x14ac:dyDescent="0.3">
      <c r="B26" s="9" t="str">
        <f>$B$5&amp;"/csv/Balance/"&amp;$B$8&amp;IF($B$11&lt;&gt;"","/"&amp;$B$11,"")&amp;IF($E$11&lt;&gt;"","/"&amp;$E$11,"")</f>
        <v>https://saxess2.planning-factory.com/csv/Balance/TemplateStore_DE/BK</v>
      </c>
      <c r="C26" s="10"/>
      <c r="D26" s="10"/>
      <c r="E26" s="10"/>
      <c r="F26" s="11"/>
      <c r="H26" s="4" t="s">
        <v>10</v>
      </c>
      <c r="I26" s="5">
        <v>42442</v>
      </c>
    </row>
    <row r="28" spans="2:9" x14ac:dyDescent="0.3">
      <c r="B28" s="3" t="s">
        <v>14</v>
      </c>
      <c r="H28" s="3" t="s">
        <v>7</v>
      </c>
      <c r="I28" s="6" t="s">
        <v>8</v>
      </c>
    </row>
    <row r="29" spans="2:9" x14ac:dyDescent="0.3">
      <c r="B29" s="9" t="str">
        <f>$B$5&amp;"/csv/CashValues/"&amp;$B$8&amp;IF($B$11&lt;&gt;"","/"&amp;$B$11,"")&amp;IF($E$11&lt;&gt;"","/"&amp;$E$11,"")</f>
        <v>https://saxess2.planning-factory.com/csv/CashValues/TemplateStore_DE/BK</v>
      </c>
      <c r="C29" s="10"/>
      <c r="D29" s="10"/>
      <c r="E29" s="10"/>
      <c r="F29" s="11"/>
      <c r="H29" s="4" t="s">
        <v>10</v>
      </c>
      <c r="I29" s="5">
        <v>42442</v>
      </c>
    </row>
  </sheetData>
  <mergeCells count="12">
    <mergeCell ref="I5:J5"/>
    <mergeCell ref="I8:J8"/>
    <mergeCell ref="B20:F20"/>
    <mergeCell ref="B23:F23"/>
    <mergeCell ref="B26:F26"/>
    <mergeCell ref="B29:F29"/>
    <mergeCell ref="B14:F14"/>
    <mergeCell ref="B5:F5"/>
    <mergeCell ref="B11:C11"/>
    <mergeCell ref="E11:F11"/>
    <mergeCell ref="B17:F17"/>
    <mergeCell ref="B8:F8"/>
  </mergeCells>
  <dataValidations count="1">
    <dataValidation type="list" allowBlank="1" showInputMessage="1" showErrorMessage="1" sqref="H17 H20 H23 H26 H29">
      <formula1>"Yes,No"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tnDownload1">
              <controlPr defaultSize="0" print="0" autoFill="0" autoPict="0" macro="[0]!GetFile">
                <anchor moveWithCells="1" sizeWithCells="1">
                  <from>
                    <xdr:col>9</xdr:col>
                    <xdr:colOff>251460</xdr:colOff>
                    <xdr:row>15</xdr:row>
                    <xdr:rowOff>99060</xdr:rowOff>
                  </from>
                  <to>
                    <xdr:col>10</xdr:col>
                    <xdr:colOff>723900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tnDownload2">
              <controlPr defaultSize="0" print="0" autoFill="0" autoPict="0" macro="[0]!GetFile">
                <anchor moveWithCells="1" sizeWithCells="1">
                  <from>
                    <xdr:col>9</xdr:col>
                    <xdr:colOff>251460</xdr:colOff>
                    <xdr:row>18</xdr:row>
                    <xdr:rowOff>99060</xdr:rowOff>
                  </from>
                  <to>
                    <xdr:col>10</xdr:col>
                    <xdr:colOff>723900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tnDownload3">
              <controlPr defaultSize="0" print="0" autoFill="0" autoPict="0" macro="[0]!GetFile">
                <anchor moveWithCells="1" sizeWithCells="1">
                  <from>
                    <xdr:col>9</xdr:col>
                    <xdr:colOff>251460</xdr:colOff>
                    <xdr:row>21</xdr:row>
                    <xdr:rowOff>99060</xdr:rowOff>
                  </from>
                  <to>
                    <xdr:col>10</xdr:col>
                    <xdr:colOff>723900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tnDownload4">
              <controlPr defaultSize="0" print="0" autoFill="0" autoPict="0" macro="[0]!GetFile">
                <anchor moveWithCells="1" sizeWithCells="1">
                  <from>
                    <xdr:col>9</xdr:col>
                    <xdr:colOff>251460</xdr:colOff>
                    <xdr:row>24</xdr:row>
                    <xdr:rowOff>106680</xdr:rowOff>
                  </from>
                  <to>
                    <xdr:col>10</xdr:col>
                    <xdr:colOff>723900</xdr:colOff>
                    <xdr:row>25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tnDownload5">
              <controlPr defaultSize="0" print="0" autoFill="0" autoPict="0" macro="[0]!GetFile">
                <anchor moveWithCells="1" sizeWithCells="1">
                  <from>
                    <xdr:col>9</xdr:col>
                    <xdr:colOff>251460</xdr:colOff>
                    <xdr:row>27</xdr:row>
                    <xdr:rowOff>106680</xdr:rowOff>
                  </from>
                  <to>
                    <xdr:col>10</xdr:col>
                    <xdr:colOff>723900</xdr:colOff>
                    <xdr:row>28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GetAllFiles">
                <anchor moveWithCells="1" sizeWithCells="1">
                  <from>
                    <xdr:col>9</xdr:col>
                    <xdr:colOff>251460</xdr:colOff>
                    <xdr:row>13</xdr:row>
                    <xdr:rowOff>0</xdr:rowOff>
                  </from>
                  <to>
                    <xdr:col>10</xdr:col>
                    <xdr:colOff>723900</xdr:colOff>
                    <xdr:row>14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GetDest">
                <anchor moveWithCells="1" sizeWithCells="1">
                  <from>
                    <xdr:col>7</xdr:col>
                    <xdr:colOff>0</xdr:colOff>
                    <xdr:row>12</xdr:row>
                    <xdr:rowOff>152400</xdr:rowOff>
                  </from>
                  <to>
                    <xdr:col>7</xdr:col>
                    <xdr:colOff>762000</xdr:colOff>
                    <xdr:row>14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18</vt:i4>
      </vt:variant>
    </vt:vector>
  </HeadingPairs>
  <TitlesOfParts>
    <vt:vector size="19" baseType="lpstr">
      <vt:lpstr>CSVDownload</vt:lpstr>
      <vt:lpstr>Active_1</vt:lpstr>
      <vt:lpstr>Active_2</vt:lpstr>
      <vt:lpstr>Active_3</vt:lpstr>
      <vt:lpstr>Active_4</vt:lpstr>
      <vt:lpstr>Active_5</vt:lpstr>
      <vt:lpstr>rDestFolder</vt:lpstr>
      <vt:lpstr>rDownloaded_1</vt:lpstr>
      <vt:lpstr>rDownloaded_2</vt:lpstr>
      <vt:lpstr>rDownloaded_3</vt:lpstr>
      <vt:lpstr>rDownloaded_4</vt:lpstr>
      <vt:lpstr>rDownloaded_5</vt:lpstr>
      <vt:lpstr>rPassword</vt:lpstr>
      <vt:lpstr>rUser</vt:lpstr>
      <vt:lpstr>URL_1</vt:lpstr>
      <vt:lpstr>URL_2</vt:lpstr>
      <vt:lpstr>URL_3</vt:lpstr>
      <vt:lpstr>URL_4</vt:lpstr>
      <vt:lpstr>URL_5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Gerd Tautenhahn</dc:creator>
  <cp:lastModifiedBy>Gerd Tautenhahn</cp:lastModifiedBy>
  <dcterms:created xsi:type="dcterms:W3CDTF">2016-03-12T18:39:09Z</dcterms:created>
  <dcterms:modified xsi:type="dcterms:W3CDTF">2016-03-13T20:54:29Z</dcterms:modified>
</cp:coreProperties>
</file>