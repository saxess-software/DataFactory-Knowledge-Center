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S:\3_sxOrganisation\5_Ergebnisauswertung\Jira-Abrechnung\"/>
    </mc:Choice>
  </mc:AlternateContent>
  <xr:revisionPtr revIDLastSave="0" documentId="13_ncr:1_{09481242-0D76-4032-83B0-78CA90794FC7}" xr6:coauthVersionLast="34" xr6:coauthVersionMax="34" xr10:uidLastSave="{00000000-0000-0000-0000-000000000000}"/>
  <bookViews>
    <workbookView xWindow="0" yWindow="0" windowWidth="28800" windowHeight="12225" activeTab="1" xr2:uid="{59CE7F71-93D6-4922-87C0-A5C407BF9C6A}"/>
  </bookViews>
  <sheets>
    <sheet name="Anleitung" sheetId="7" r:id="rId1"/>
    <sheet name="Übersicht" sheetId="1" r:id="rId2"/>
    <sheet name="Gesamtprojekt" sheetId="2" r:id="rId3"/>
    <sheet name="201801" sheetId="4" r:id="rId4"/>
  </sheets>
  <definedNames>
    <definedName name="_xlnm._FilterDatabase" localSheetId="2" hidden="1">Gesamtprojekt!$B$11:$C$48</definedName>
    <definedName name="_xlnm.Print_Area" localSheetId="3">'201801'!$A$1:$F$48</definedName>
    <definedName name="_xlnm.Print_Area" localSheetId="0">Anleitung!$A$1:$T$38</definedName>
    <definedName name="_xlnm.Print_Area" localSheetId="2">Gesamtprojekt!$A$1:$AL$48</definedName>
    <definedName name="_xlnm.Print_Area" localSheetId="1">Übersicht!$A$1:$M$42</definedName>
    <definedName name="Druckbereich1">Übersicht!$A$1:$M$42</definedName>
    <definedName name="Druckbereich2">#REF!</definedName>
    <definedName name="Druckbereich3">Gesamtprojekt!$A$1:$AB$50</definedName>
    <definedName name="Druckbereich4">'201801'!$A$1:$F$48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2" l="1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4" i="2"/>
  <c r="N37" i="1"/>
  <c r="N38" i="1"/>
  <c r="N39" i="1"/>
  <c r="N40" i="1"/>
  <c r="N36" i="1"/>
  <c r="C7" i="4" l="1"/>
  <c r="C10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9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9" i="4"/>
  <c r="B10" i="4"/>
  <c r="I12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48" i="2" l="1"/>
  <c r="N7" i="2"/>
  <c r="N8" i="2" l="1"/>
  <c r="N6" i="2"/>
  <c r="N11" i="2"/>
  <c r="D8" i="4" l="1"/>
  <c r="B4" i="2"/>
  <c r="O7" i="2"/>
  <c r="O8" i="2" l="1"/>
  <c r="O6" i="2"/>
  <c r="AK39" i="2"/>
  <c r="U39" i="2"/>
  <c r="AI39" i="2"/>
  <c r="S39" i="2"/>
  <c r="AG39" i="2"/>
  <c r="O39" i="2"/>
  <c r="AE39" i="2"/>
  <c r="Q39" i="2"/>
  <c r="AC39" i="2"/>
  <c r="AA39" i="2"/>
  <c r="Y39" i="2"/>
  <c r="W39" i="2"/>
  <c r="Q7" i="2"/>
  <c r="W38" i="2"/>
  <c r="AK38" i="2"/>
  <c r="U38" i="2"/>
  <c r="AI38" i="2"/>
  <c r="S38" i="2"/>
  <c r="AG38" i="2"/>
  <c r="O38" i="2"/>
  <c r="AE38" i="2"/>
  <c r="Q38" i="2"/>
  <c r="AC38" i="2"/>
  <c r="AA38" i="2"/>
  <c r="Y38" i="2"/>
  <c r="W30" i="2"/>
  <c r="AK30" i="2"/>
  <c r="U30" i="2"/>
  <c r="AI30" i="2"/>
  <c r="S30" i="2"/>
  <c r="AG30" i="2"/>
  <c r="O30" i="2"/>
  <c r="AE30" i="2"/>
  <c r="Q30" i="2"/>
  <c r="AC30" i="2"/>
  <c r="AA30" i="2"/>
  <c r="Y30" i="2"/>
  <c r="W22" i="2"/>
  <c r="AK22" i="2"/>
  <c r="U22" i="2"/>
  <c r="AI22" i="2"/>
  <c r="S22" i="2"/>
  <c r="AG22" i="2"/>
  <c r="O22" i="2"/>
  <c r="AE22" i="2"/>
  <c r="Q22" i="2"/>
  <c r="AC22" i="2"/>
  <c r="AA22" i="2"/>
  <c r="Y22" i="2"/>
  <c r="AK31" i="2"/>
  <c r="U31" i="2"/>
  <c r="AI31" i="2"/>
  <c r="S31" i="2"/>
  <c r="AG31" i="2"/>
  <c r="O31" i="2"/>
  <c r="AE31" i="2"/>
  <c r="Q31" i="2"/>
  <c r="AC31" i="2"/>
  <c r="AA31" i="2"/>
  <c r="Y31" i="2"/>
  <c r="W31" i="2"/>
  <c r="AA44" i="2"/>
  <c r="Y44" i="2"/>
  <c r="W44" i="2"/>
  <c r="AK44" i="2"/>
  <c r="U44" i="2"/>
  <c r="AI44" i="2"/>
  <c r="S44" i="2"/>
  <c r="AG44" i="2"/>
  <c r="O44" i="2"/>
  <c r="AE44" i="2"/>
  <c r="Q44" i="2"/>
  <c r="AC44" i="2"/>
  <c r="Y37" i="2"/>
  <c r="W37" i="2"/>
  <c r="AK37" i="2"/>
  <c r="U37" i="2"/>
  <c r="AI37" i="2"/>
  <c r="S37" i="2"/>
  <c r="AG37" i="2"/>
  <c r="O37" i="2"/>
  <c r="AE37" i="2"/>
  <c r="Q37" i="2"/>
  <c r="AC37" i="2"/>
  <c r="AA37" i="2"/>
  <c r="Y29" i="2"/>
  <c r="W29" i="2"/>
  <c r="AK29" i="2"/>
  <c r="U29" i="2"/>
  <c r="AI29" i="2"/>
  <c r="S29" i="2"/>
  <c r="AG29" i="2"/>
  <c r="O29" i="2"/>
  <c r="AE29" i="2"/>
  <c r="Q29" i="2"/>
  <c r="AC29" i="2"/>
  <c r="AA29" i="2"/>
  <c r="Y21" i="2"/>
  <c r="W21" i="2"/>
  <c r="AK21" i="2"/>
  <c r="U21" i="2"/>
  <c r="AI21" i="2"/>
  <c r="S21" i="2"/>
  <c r="AG21" i="2"/>
  <c r="O21" i="2"/>
  <c r="AE21" i="2"/>
  <c r="Q21" i="2"/>
  <c r="AC21" i="2"/>
  <c r="AA21" i="2"/>
  <c r="AA36" i="2"/>
  <c r="Y36" i="2"/>
  <c r="W36" i="2"/>
  <c r="AK36" i="2"/>
  <c r="U36" i="2"/>
  <c r="AI36" i="2"/>
  <c r="S36" i="2"/>
  <c r="AG36" i="2"/>
  <c r="O36" i="2"/>
  <c r="AE36" i="2"/>
  <c r="Q36" i="2"/>
  <c r="AC36" i="2"/>
  <c r="AA28" i="2"/>
  <c r="Y28" i="2"/>
  <c r="W28" i="2"/>
  <c r="AK28" i="2"/>
  <c r="U28" i="2"/>
  <c r="AI28" i="2"/>
  <c r="S28" i="2"/>
  <c r="AG28" i="2"/>
  <c r="O28" i="2"/>
  <c r="AE28" i="2"/>
  <c r="Q28" i="2"/>
  <c r="AC28" i="2"/>
  <c r="AA20" i="2"/>
  <c r="Y20" i="2"/>
  <c r="W20" i="2"/>
  <c r="AK20" i="2"/>
  <c r="U20" i="2"/>
  <c r="AI20" i="2"/>
  <c r="S20" i="2"/>
  <c r="AG20" i="2"/>
  <c r="O20" i="2"/>
  <c r="AE20" i="2"/>
  <c r="Q20" i="2"/>
  <c r="AC20" i="2"/>
  <c r="Y45" i="2"/>
  <c r="W45" i="2"/>
  <c r="AK45" i="2"/>
  <c r="U45" i="2"/>
  <c r="AI45" i="2"/>
  <c r="S45" i="2"/>
  <c r="AG45" i="2"/>
  <c r="O45" i="2"/>
  <c r="AE45" i="2"/>
  <c r="Q45" i="2"/>
  <c r="AC45" i="2"/>
  <c r="AA45" i="2"/>
  <c r="AC43" i="2"/>
  <c r="AA43" i="2"/>
  <c r="Y43" i="2"/>
  <c r="W43" i="2"/>
  <c r="AK43" i="2"/>
  <c r="U43" i="2"/>
  <c r="AI43" i="2"/>
  <c r="S43" i="2"/>
  <c r="AG43" i="2"/>
  <c r="O43" i="2"/>
  <c r="AE43" i="2"/>
  <c r="Q43" i="2"/>
  <c r="AC35" i="2"/>
  <c r="AA35" i="2"/>
  <c r="Y35" i="2"/>
  <c r="W35" i="2"/>
  <c r="AK35" i="2"/>
  <c r="U35" i="2"/>
  <c r="AI35" i="2"/>
  <c r="S35" i="2"/>
  <c r="AG35" i="2"/>
  <c r="O35" i="2"/>
  <c r="AE35" i="2"/>
  <c r="Q35" i="2"/>
  <c r="AC27" i="2"/>
  <c r="AA27" i="2"/>
  <c r="Y27" i="2"/>
  <c r="W27" i="2"/>
  <c r="AK27" i="2"/>
  <c r="U27" i="2"/>
  <c r="AI27" i="2"/>
  <c r="S27" i="2"/>
  <c r="AG27" i="2"/>
  <c r="O27" i="2"/>
  <c r="AE27" i="2"/>
  <c r="Q27" i="2"/>
  <c r="AC19" i="2"/>
  <c r="AA19" i="2"/>
  <c r="Y19" i="2"/>
  <c r="W19" i="2"/>
  <c r="AK19" i="2"/>
  <c r="U19" i="2"/>
  <c r="AI19" i="2"/>
  <c r="S19" i="2"/>
  <c r="AG19" i="2"/>
  <c r="O19" i="2"/>
  <c r="AE19" i="2"/>
  <c r="Q19" i="2"/>
  <c r="W46" i="2"/>
  <c r="AK46" i="2"/>
  <c r="U46" i="2"/>
  <c r="AI46" i="2"/>
  <c r="S46" i="2"/>
  <c r="AG46" i="2"/>
  <c r="O46" i="2"/>
  <c r="AE46" i="2"/>
  <c r="Q46" i="2"/>
  <c r="AC46" i="2"/>
  <c r="AA46" i="2"/>
  <c r="Y46" i="2"/>
  <c r="AK47" i="2"/>
  <c r="U47" i="2"/>
  <c r="AI47" i="2"/>
  <c r="S47" i="2"/>
  <c r="AG47" i="2"/>
  <c r="O47" i="2"/>
  <c r="AE47" i="2"/>
  <c r="Q47" i="2"/>
  <c r="AC47" i="2"/>
  <c r="AA47" i="2"/>
  <c r="Y47" i="2"/>
  <c r="W47" i="2"/>
  <c r="AE42" i="2"/>
  <c r="Q42" i="2"/>
  <c r="AC42" i="2"/>
  <c r="AA42" i="2"/>
  <c r="Y42" i="2"/>
  <c r="W42" i="2"/>
  <c r="AK42" i="2"/>
  <c r="U42" i="2"/>
  <c r="AI42" i="2"/>
  <c r="S42" i="2"/>
  <c r="AG42" i="2"/>
  <c r="O42" i="2"/>
  <c r="AE34" i="2"/>
  <c r="Q34" i="2"/>
  <c r="AC34" i="2"/>
  <c r="AA34" i="2"/>
  <c r="Y34" i="2"/>
  <c r="W34" i="2"/>
  <c r="AK34" i="2"/>
  <c r="U34" i="2"/>
  <c r="AI34" i="2"/>
  <c r="S34" i="2"/>
  <c r="AG34" i="2"/>
  <c r="O34" i="2"/>
  <c r="AE26" i="2"/>
  <c r="Q26" i="2"/>
  <c r="AC26" i="2"/>
  <c r="AA26" i="2"/>
  <c r="Y26" i="2"/>
  <c r="W26" i="2"/>
  <c r="AK26" i="2"/>
  <c r="U26" i="2"/>
  <c r="AI26" i="2"/>
  <c r="S26" i="2"/>
  <c r="AG26" i="2"/>
  <c r="O26" i="2"/>
  <c r="AE18" i="2"/>
  <c r="Q18" i="2"/>
  <c r="AC18" i="2"/>
  <c r="AA18" i="2"/>
  <c r="Y18" i="2"/>
  <c r="W18" i="2"/>
  <c r="AK18" i="2"/>
  <c r="U18" i="2"/>
  <c r="AI18" i="2"/>
  <c r="S18" i="2"/>
  <c r="AG18" i="2"/>
  <c r="O18" i="2"/>
  <c r="AG41" i="2"/>
  <c r="O41" i="2"/>
  <c r="AE41" i="2"/>
  <c r="Q41" i="2"/>
  <c r="AC41" i="2"/>
  <c r="AA41" i="2"/>
  <c r="Y41" i="2"/>
  <c r="W41" i="2"/>
  <c r="AK41" i="2"/>
  <c r="U41" i="2"/>
  <c r="AI41" i="2"/>
  <c r="S41" i="2"/>
  <c r="AG33" i="2"/>
  <c r="O33" i="2"/>
  <c r="AE33" i="2"/>
  <c r="Q33" i="2"/>
  <c r="AC33" i="2"/>
  <c r="AA33" i="2"/>
  <c r="Y33" i="2"/>
  <c r="W33" i="2"/>
  <c r="AK33" i="2"/>
  <c r="U33" i="2"/>
  <c r="AI33" i="2"/>
  <c r="S33" i="2"/>
  <c r="AG25" i="2"/>
  <c r="O25" i="2"/>
  <c r="AE25" i="2"/>
  <c r="Q25" i="2"/>
  <c r="AC25" i="2"/>
  <c r="AA25" i="2"/>
  <c r="Y25" i="2"/>
  <c r="W25" i="2"/>
  <c r="AK25" i="2"/>
  <c r="U25" i="2"/>
  <c r="AI25" i="2"/>
  <c r="S25" i="2"/>
  <c r="AG17" i="2"/>
  <c r="O17" i="2"/>
  <c r="AE17" i="2"/>
  <c r="Q17" i="2"/>
  <c r="AC17" i="2"/>
  <c r="AA17" i="2"/>
  <c r="Y17" i="2"/>
  <c r="W17" i="2"/>
  <c r="AK17" i="2"/>
  <c r="U17" i="2"/>
  <c r="AI17" i="2"/>
  <c r="S17" i="2"/>
  <c r="AK23" i="2"/>
  <c r="U23" i="2"/>
  <c r="AI23" i="2"/>
  <c r="S23" i="2"/>
  <c r="AG23" i="2"/>
  <c r="O23" i="2"/>
  <c r="AE23" i="2"/>
  <c r="Q23" i="2"/>
  <c r="AC23" i="2"/>
  <c r="AA23" i="2"/>
  <c r="Y23" i="2"/>
  <c r="W23" i="2"/>
  <c r="AI40" i="2"/>
  <c r="S40" i="2"/>
  <c r="AG40" i="2"/>
  <c r="O40" i="2"/>
  <c r="AE40" i="2"/>
  <c r="Q40" i="2"/>
  <c r="AC40" i="2"/>
  <c r="AA40" i="2"/>
  <c r="Y40" i="2"/>
  <c r="W40" i="2"/>
  <c r="AK40" i="2"/>
  <c r="U40" i="2"/>
  <c r="AI32" i="2"/>
  <c r="S32" i="2"/>
  <c r="AG32" i="2"/>
  <c r="O32" i="2"/>
  <c r="AE32" i="2"/>
  <c r="Q32" i="2"/>
  <c r="AC32" i="2"/>
  <c r="AA32" i="2"/>
  <c r="Y32" i="2"/>
  <c r="W32" i="2"/>
  <c r="AK32" i="2"/>
  <c r="U32" i="2"/>
  <c r="AI24" i="2"/>
  <c r="S24" i="2"/>
  <c r="AG24" i="2"/>
  <c r="O24" i="2"/>
  <c r="AE24" i="2"/>
  <c r="Q24" i="2"/>
  <c r="AC24" i="2"/>
  <c r="AA24" i="2"/>
  <c r="Y24" i="2"/>
  <c r="W24" i="2"/>
  <c r="AK24" i="2"/>
  <c r="U24" i="2"/>
  <c r="AI16" i="2"/>
  <c r="S16" i="2"/>
  <c r="AG16" i="2"/>
  <c r="O16" i="2"/>
  <c r="AE16" i="2"/>
  <c r="Q16" i="2"/>
  <c r="AC16" i="2"/>
  <c r="AA16" i="2"/>
  <c r="Y16" i="2"/>
  <c r="W16" i="2"/>
  <c r="AK16" i="2"/>
  <c r="U16" i="2"/>
  <c r="P7" i="2"/>
  <c r="K41" i="2"/>
  <c r="K33" i="2"/>
  <c r="K25" i="2"/>
  <c r="K17" i="2"/>
  <c r="K40" i="2"/>
  <c r="K32" i="2"/>
  <c r="K24" i="2"/>
  <c r="K16" i="2"/>
  <c r="K39" i="2"/>
  <c r="K31" i="2"/>
  <c r="K23" i="2"/>
  <c r="K38" i="2"/>
  <c r="K30" i="2"/>
  <c r="K22" i="2"/>
  <c r="K44" i="2"/>
  <c r="H37" i="2"/>
  <c r="K37" i="2"/>
  <c r="H29" i="2"/>
  <c r="K29" i="2"/>
  <c r="H21" i="2"/>
  <c r="K21" i="2"/>
  <c r="K36" i="2"/>
  <c r="K28" i="2"/>
  <c r="K20" i="2"/>
  <c r="K46" i="2"/>
  <c r="K43" i="2"/>
  <c r="K35" i="2"/>
  <c r="K27" i="2"/>
  <c r="K19" i="2"/>
  <c r="K45" i="2"/>
  <c r="K47" i="2"/>
  <c r="K42" i="2"/>
  <c r="K34" i="2"/>
  <c r="K26" i="2"/>
  <c r="K18" i="2"/>
  <c r="H41" i="2"/>
  <c r="H33" i="2"/>
  <c r="H25" i="2"/>
  <c r="H17" i="2"/>
  <c r="H24" i="2"/>
  <c r="H12" i="2"/>
  <c r="H39" i="2"/>
  <c r="H31" i="2"/>
  <c r="H23" i="2"/>
  <c r="H15" i="2"/>
  <c r="H38" i="2"/>
  <c r="H30" i="2"/>
  <c r="H22" i="2"/>
  <c r="H44" i="2"/>
  <c r="H13" i="2"/>
  <c r="H32" i="2"/>
  <c r="H45" i="2"/>
  <c r="H40" i="2"/>
  <c r="H16" i="2"/>
  <c r="H14" i="2"/>
  <c r="H36" i="2"/>
  <c r="H28" i="2"/>
  <c r="H20" i="2"/>
  <c r="H46" i="2"/>
  <c r="H43" i="2"/>
  <c r="H35" i="2"/>
  <c r="H27" i="2"/>
  <c r="H19" i="2"/>
  <c r="H47" i="2"/>
  <c r="H42" i="2"/>
  <c r="H34" i="2"/>
  <c r="H26" i="2"/>
  <c r="H18" i="2"/>
  <c r="Q8" i="2" l="1"/>
  <c r="Q6" i="2"/>
  <c r="P8" i="2"/>
  <c r="P6" i="2"/>
  <c r="S7" i="2"/>
  <c r="R7" i="2"/>
  <c r="Q11" i="2"/>
  <c r="P11" i="2"/>
  <c r="N48" i="2"/>
  <c r="R8" i="2" l="1"/>
  <c r="R6" i="2"/>
  <c r="S8" i="2"/>
  <c r="S6" i="2"/>
  <c r="T7" i="2"/>
  <c r="U7" i="2"/>
  <c r="D46" i="4"/>
  <c r="Q14" i="2"/>
  <c r="U8" i="2" l="1"/>
  <c r="U6" i="2"/>
  <c r="T8" i="2"/>
  <c r="T6" i="2"/>
  <c r="V7" i="2"/>
  <c r="W7" i="2"/>
  <c r="K7" i="2"/>
  <c r="H7" i="2"/>
  <c r="B3" i="4"/>
  <c r="B3" i="2"/>
  <c r="Q13" i="2"/>
  <c r="Q15" i="2"/>
  <c r="W8" i="2" l="1"/>
  <c r="W6" i="2"/>
  <c r="V8" i="2"/>
  <c r="V6" i="2"/>
  <c r="X7" i="2"/>
  <c r="Y7" i="2"/>
  <c r="Q12" i="2"/>
  <c r="Q48" i="2" l="1"/>
  <c r="X8" i="2"/>
  <c r="X6" i="2"/>
  <c r="Y8" i="2"/>
  <c r="Y6" i="2"/>
  <c r="Z7" i="2"/>
  <c r="AA7" i="2"/>
  <c r="R11" i="2"/>
  <c r="O11" i="2"/>
  <c r="O15" i="2"/>
  <c r="AA8" i="2" l="1"/>
  <c r="AA6" i="2"/>
  <c r="Z8" i="2"/>
  <c r="Z6" i="2"/>
  <c r="AC7" i="2"/>
  <c r="AB7" i="2"/>
  <c r="O14" i="2"/>
  <c r="O12" i="2"/>
  <c r="AB8" i="2" l="1"/>
  <c r="AB6" i="2"/>
  <c r="AC8" i="2"/>
  <c r="AC6" i="2"/>
  <c r="AB11" i="2"/>
  <c r="AB48" i="2" s="1"/>
  <c r="AD7" i="2"/>
  <c r="AC11" i="2"/>
  <c r="AE7" i="2"/>
  <c r="O13" i="2"/>
  <c r="AC15" i="2"/>
  <c r="AE8" i="2" l="1"/>
  <c r="AE6" i="2"/>
  <c r="AD8" i="2"/>
  <c r="AD6" i="2"/>
  <c r="AD11" i="2"/>
  <c r="AD48" i="2" s="1"/>
  <c r="AE11" i="2"/>
  <c r="AG7" i="2"/>
  <c r="AF7" i="2"/>
  <c r="O48" i="2"/>
  <c r="S11" i="2"/>
  <c r="AC14" i="2"/>
  <c r="AC13" i="2"/>
  <c r="S15" i="2"/>
  <c r="AC12" i="2"/>
  <c r="AE15" i="2"/>
  <c r="AF8" i="2" l="1"/>
  <c r="AF6" i="2"/>
  <c r="AG8" i="2"/>
  <c r="AG6" i="2"/>
  <c r="AC48" i="2"/>
  <c r="AF11" i="2"/>
  <c r="AF48" i="2" s="1"/>
  <c r="AG11" i="2"/>
  <c r="AI7" i="2"/>
  <c r="AH7" i="2"/>
  <c r="AE14" i="2"/>
  <c r="AG15" i="2"/>
  <c r="AE13" i="2"/>
  <c r="AE12" i="2"/>
  <c r="AG12" i="2"/>
  <c r="AH8" i="2" l="1"/>
  <c r="AH6" i="2"/>
  <c r="AI8" i="2"/>
  <c r="AI6" i="2"/>
  <c r="AE48" i="2"/>
  <c r="AH11" i="2"/>
  <c r="AH48" i="2" s="1"/>
  <c r="AK7" i="2"/>
  <c r="AJ7" i="2"/>
  <c r="AI11" i="2"/>
  <c r="S14" i="2"/>
  <c r="AG14" i="2"/>
  <c r="S12" i="2"/>
  <c r="S13" i="2"/>
  <c r="AG13" i="2"/>
  <c r="AI15" i="2"/>
  <c r="AJ8" i="2" l="1"/>
  <c r="AJ6" i="2"/>
  <c r="AK8" i="2"/>
  <c r="AK6" i="2"/>
  <c r="AG48" i="2"/>
  <c r="AJ11" i="2"/>
  <c r="AJ48" i="2" s="1"/>
  <c r="AK11" i="2"/>
  <c r="T11" i="2"/>
  <c r="T48" i="2" s="1"/>
  <c r="AI14" i="2"/>
  <c r="AI12" i="2"/>
  <c r="AI13" i="2"/>
  <c r="AK15" i="2"/>
  <c r="J12" i="2" l="1"/>
  <c r="J13" i="2"/>
  <c r="J15" i="2"/>
  <c r="AI48" i="2"/>
  <c r="U11" i="2"/>
  <c r="AK14" i="2"/>
  <c r="AK12" i="2"/>
  <c r="AK13" i="2"/>
  <c r="U15" i="2"/>
  <c r="V11" i="2" l="1"/>
  <c r="U14" i="2"/>
  <c r="U13" i="2"/>
  <c r="U12" i="2"/>
  <c r="U48" i="2" l="1"/>
  <c r="W11" i="2"/>
  <c r="W15" i="2"/>
  <c r="X11" i="2" l="1"/>
  <c r="W14" i="2"/>
  <c r="W13" i="2"/>
  <c r="W12" i="2"/>
  <c r="Y11" i="2" l="1"/>
  <c r="Y15" i="2"/>
  <c r="Z11" i="2" l="1"/>
  <c r="Z48" i="2" s="1"/>
  <c r="Y14" i="2"/>
  <c r="Y12" i="2"/>
  <c r="Y13" i="2"/>
  <c r="Y48" i="2" l="1"/>
  <c r="AA11" i="2"/>
  <c r="AA15" i="2"/>
  <c r="K15" i="2" l="1"/>
  <c r="L15" i="2" s="1"/>
  <c r="AA14" i="2"/>
  <c r="AA13" i="2"/>
  <c r="AA12" i="2"/>
  <c r="K12" i="2" l="1"/>
  <c r="L12" i="2" s="1"/>
  <c r="K14" i="2"/>
  <c r="K13" i="2"/>
  <c r="L13" i="2" s="1"/>
  <c r="AK48" i="2"/>
  <c r="P48" i="2"/>
  <c r="AA48" i="2" l="1"/>
  <c r="V48" i="2"/>
  <c r="W48" i="2" l="1"/>
  <c r="R48" i="2"/>
  <c r="X48" i="2" l="1"/>
  <c r="S48" i="2"/>
  <c r="H48" i="2" l="1"/>
  <c r="K48" i="2" l="1"/>
  <c r="L48" i="2"/>
</calcChain>
</file>

<file path=xl/sharedStrings.xml><?xml version="1.0" encoding="utf-8"?>
<sst xmlns="http://schemas.openxmlformats.org/spreadsheetml/2006/main" count="95" uniqueCount="64">
  <si>
    <t xml:space="preserve">Projektleistungsnachweis </t>
  </si>
  <si>
    <t>Auftraggeber</t>
  </si>
  <si>
    <t>Projektleitung</t>
  </si>
  <si>
    <t>Team</t>
  </si>
  <si>
    <t>SAXESS Software GmbH</t>
  </si>
  <si>
    <t>Firma</t>
  </si>
  <si>
    <t>PLAN</t>
  </si>
  <si>
    <t>IST</t>
  </si>
  <si>
    <t>FORECAST</t>
  </si>
  <si>
    <t>Erläuterung</t>
  </si>
  <si>
    <t>Monatsübersicht</t>
  </si>
  <si>
    <t>Zusätzliche Informationen</t>
  </si>
  <si>
    <t>Projektstart</t>
  </si>
  <si>
    <t xml:space="preserve">Genehmigt am:   </t>
  </si>
  <si>
    <t>Hauptthema</t>
  </si>
  <si>
    <t>Unterthema</t>
  </si>
  <si>
    <t>ADxxxxx_XXXXXXXXXX</t>
  </si>
  <si>
    <t>Leistungseinheit</t>
  </si>
  <si>
    <t>Stunden</t>
  </si>
  <si>
    <t>Tagessatz</t>
  </si>
  <si>
    <t>Reisekosten</t>
  </si>
  <si>
    <t>Weitere Details</t>
  </si>
  <si>
    <t>1.300EUR</t>
  </si>
  <si>
    <t>Hotel wird vom Kunden gestellt</t>
  </si>
  <si>
    <t>gem. Kilometerpauschale (690km à 0,4EUR)</t>
  </si>
  <si>
    <t>Formular für den Projektleistungsnachweis</t>
  </si>
  <si>
    <t>Anleitung</t>
  </si>
  <si>
    <t>Tabellenblatt 'Übersicht'</t>
  </si>
  <si>
    <t>im Feld 'Firma' ist die AD-Nummer einzutragen</t>
  </si>
  <si>
    <t>im Feld 'Projektstart' ist das Datum einzutragen</t>
  </si>
  <si>
    <t>im Feld 'Tagessatz' ist der Betrag einzutragen</t>
  </si>
  <si>
    <t>im Feld 'Reisekosten' ist die Vereinbarung einzutragen</t>
  </si>
  <si>
    <t>im Feld 'Weitere Details' können weitere abrechnungsrelevante Informationen eingetragen werden</t>
  </si>
  <si>
    <t>die genannten Felder sind in den Tabellenblättern verlinkt</t>
  </si>
  <si>
    <t>die farblosen Zellen können befüllt werden, graue Zellen enthalten Formeln</t>
  </si>
  <si>
    <t>in die Spalte 'Unterthema' sind die zu bearbeitenden Projektaufgaben einzutragen (kann den Epics in Jira entsprechen)</t>
  </si>
  <si>
    <t>die Budgetspalten sind mit den vertraglich definierten Budgetwerten/ BudgetUpdates zu befüllen</t>
  </si>
  <si>
    <t>im Bereich der Plandaten ist das Budget auf den Zeitbereich zu verteilen, in welchem die Leistung voraussichtlich erbracht wird</t>
  </si>
  <si>
    <t>Tabellenblatt 'Gesamtprojekt'</t>
  </si>
  <si>
    <t>Tabellenblatt für den jeweiligen Monat mit den IST-Werten</t>
  </si>
  <si>
    <t>Name des Tabellenblatts muss zwingend der Spaltenüberschrift in Blatt 'Gesamtprojekt' entsprechen (sonst Bezugfehler)</t>
  </si>
  <si>
    <t>der betrachtete Monat ist im Header manuell anzupassen</t>
  </si>
  <si>
    <t>die Spaltenüberschrift 'Geleistete …' basiert auf der hinterlegten Leistungseinheit im Blatt 'Übersicht'</t>
  </si>
  <si>
    <t>zusätzl. Budget 1</t>
  </si>
  <si>
    <t>zusätzl. Budget 2</t>
  </si>
  <si>
    <t>aktuelles Budget</t>
  </si>
  <si>
    <t>initiales Budget</t>
  </si>
  <si>
    <t>zusätzl. Budget 3</t>
  </si>
  <si>
    <t>Personalplanung</t>
  </si>
  <si>
    <t>Vertragsverwaltung</t>
  </si>
  <si>
    <t>im Feld 'Leistungseinheit' ist die Abrechnungseinheit einzutragen (Tage oder Stunden)</t>
  </si>
  <si>
    <t>in die  Spalte 'Hauptthema' ist einzutragen, ob es sich um ein SXIntegrator- oder SXDataFactory-relevantes Thema handelt (darüber wählt die Verwaltung den passenden Dienstleistungsartikel)</t>
  </si>
  <si>
    <t>die farblosen Zellen können befüllt werden, graue Zellen enthalten Formeln und werden automatisch befüllt</t>
  </si>
  <si>
    <t>für die Buget-Spalten sollten in Zeile 9 das Genehmigungsdatum hinterlegt werden</t>
  </si>
  <si>
    <t>ist die Monatsspalte als 'Ist' klassifiziert, werden die Werte aus dem entsprechenden Monatsblatt auf das Unterthema aggregiert angezeigt</t>
  </si>
  <si>
    <t>über den Button 'Aktuellen Monat anzeigen' werden vom aktuellen Monat die Plan- und Istdaten sowie von den Folgemonaten die Plandaten angezeigt</t>
  </si>
  <si>
    <t>über den Button 'Alle Monate anzeigen' werden alle Monate angezeigt</t>
  </si>
  <si>
    <t>die Zeitachse zeigt stets Datum des Projektstarts (Tabellenblatt 'Übersicht') plus 12 Monate</t>
  </si>
  <si>
    <t>die Spalten 'Haupt&amp;Unterthema' werden automatisch aus Blatt 'Gesamtprojekt' befüllt</t>
  </si>
  <si>
    <t>Jeden Monat wird das Blatt des Vormonats kopiert</t>
  </si>
  <si>
    <t>SX DataFactory</t>
  </si>
  <si>
    <t>SX Integrator</t>
  </si>
  <si>
    <t>DATEV-Schnittstelle</t>
  </si>
  <si>
    <t>PLAN (ohne 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</si>
</sst>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mmmm\ yy;@"/>
    <numFmt numFmtId="165" formatCode="[$-407]mmm/\ yy;@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42">
    <border>
      <left/>
      <right/>
      <top/>
      <bottom/>
      <diagonal/>
    </border>
    <border>
      <left style="thick">
        <color theme="9"/>
      </left>
      <right/>
      <top style="thick">
        <color theme="9"/>
      </top>
      <bottom/>
      <diagonal/>
    </border>
    <border>
      <left/>
      <right/>
      <top style="thick">
        <color theme="9"/>
      </top>
      <bottom/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/>
      <top/>
      <bottom/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/>
      <top/>
      <bottom style="thick">
        <color theme="9"/>
      </bottom>
      <diagonal/>
    </border>
    <border>
      <left/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auto="1"/>
      </bottom>
      <diagonal/>
    </border>
    <border>
      <left/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/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2" borderId="0" xfId="0" applyFill="1"/>
    <xf numFmtId="0" fontId="5" fillId="2" borderId="0" xfId="0" applyFont="1" applyFill="1"/>
    <xf numFmtId="0" fontId="6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2" fillId="0" borderId="0" xfId="0" applyFont="1" applyBorder="1"/>
    <xf numFmtId="0" fontId="0" fillId="0" borderId="0" xfId="0" applyFill="1"/>
    <xf numFmtId="0" fontId="8" fillId="2" borderId="0" xfId="0" applyFont="1" applyFill="1"/>
    <xf numFmtId="49" fontId="0" fillId="0" borderId="0" xfId="0" applyNumberFormat="1" applyBorder="1"/>
    <xf numFmtId="49" fontId="0" fillId="0" borderId="7" xfId="0" applyNumberFormat="1" applyBorder="1"/>
    <xf numFmtId="49" fontId="0" fillId="0" borderId="0" xfId="0" applyNumberFormat="1"/>
    <xf numFmtId="49" fontId="0" fillId="0" borderId="2" xfId="0" applyNumberFormat="1" applyBorder="1"/>
    <xf numFmtId="0" fontId="3" fillId="2" borderId="0" xfId="0" applyFont="1" applyFill="1"/>
    <xf numFmtId="164" fontId="0" fillId="0" borderId="0" xfId="0" applyNumberFormat="1"/>
    <xf numFmtId="164" fontId="4" fillId="2" borderId="0" xfId="0" applyNumberFormat="1" applyFont="1" applyFill="1" applyAlignment="1">
      <alignment horizontal="left"/>
    </xf>
    <xf numFmtId="49" fontId="0" fillId="0" borderId="0" xfId="0" applyNumberFormat="1" applyBorder="1" applyAlignment="1">
      <alignment horizontal="left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165" fontId="9" fillId="0" borderId="0" xfId="0" applyNumberFormat="1" applyFont="1" applyAlignment="1">
      <alignment horizontal="center"/>
    </xf>
    <xf numFmtId="0" fontId="10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3" borderId="23" xfId="0" applyFont="1" applyFill="1" applyBorder="1" applyAlignment="1">
      <alignment horizontal="center"/>
    </xf>
    <xf numFmtId="49" fontId="0" fillId="0" borderId="27" xfId="0" applyNumberFormat="1" applyFill="1" applyBorder="1"/>
    <xf numFmtId="49" fontId="0" fillId="0" borderId="30" xfId="0" applyNumberFormat="1" applyFill="1" applyBorder="1"/>
    <xf numFmtId="49" fontId="0" fillId="0" borderId="33" xfId="0" applyNumberFormat="1" applyFill="1" applyBorder="1"/>
    <xf numFmtId="0" fontId="0" fillId="0" borderId="0" xfId="0" applyFont="1"/>
    <xf numFmtId="4" fontId="2" fillId="4" borderId="9" xfId="0" applyNumberFormat="1" applyFont="1" applyFill="1" applyBorder="1" applyAlignment="1">
      <alignment horizontal="center"/>
    </xf>
    <xf numFmtId="2" fontId="1" fillId="3" borderId="23" xfId="0" applyNumberFormat="1" applyFont="1" applyFill="1" applyBorder="1" applyAlignment="1">
      <alignment horizontal="center"/>
    </xf>
    <xf numFmtId="2" fontId="1" fillId="3" borderId="22" xfId="0" applyNumberFormat="1" applyFont="1" applyFill="1" applyBorder="1" applyAlignment="1">
      <alignment horizontal="center"/>
    </xf>
    <xf numFmtId="2" fontId="1" fillId="3" borderId="24" xfId="0" applyNumberFormat="1" applyFont="1" applyFill="1" applyBorder="1" applyAlignment="1">
      <alignment horizontal="center"/>
    </xf>
    <xf numFmtId="4" fontId="0" fillId="0" borderId="37" xfId="0" applyNumberFormat="1" applyFill="1" applyBorder="1" applyAlignment="1">
      <alignment horizontal="center"/>
    </xf>
    <xf numFmtId="4" fontId="0" fillId="0" borderId="38" xfId="0" applyNumberFormat="1" applyFill="1" applyBorder="1" applyAlignment="1">
      <alignment horizontal="center"/>
    </xf>
    <xf numFmtId="4" fontId="0" fillId="0" borderId="39" xfId="0" applyNumberFormat="1" applyFill="1" applyBorder="1" applyAlignment="1">
      <alignment horizontal="center"/>
    </xf>
    <xf numFmtId="0" fontId="11" fillId="0" borderId="0" xfId="0" applyFont="1" applyAlignment="1">
      <alignment horizontal="right"/>
    </xf>
    <xf numFmtId="14" fontId="11" fillId="0" borderId="0" xfId="0" applyNumberFormat="1" applyFont="1" applyAlignment="1">
      <alignment horizontal="center"/>
    </xf>
    <xf numFmtId="0" fontId="1" fillId="3" borderId="22" xfId="0" applyFont="1" applyFill="1" applyBorder="1" applyAlignment="1">
      <alignment horizontal="left"/>
    </xf>
    <xf numFmtId="0" fontId="1" fillId="3" borderId="23" xfId="0" applyFont="1" applyFill="1" applyBorder="1" applyAlignment="1">
      <alignment horizontal="left"/>
    </xf>
    <xf numFmtId="14" fontId="0" fillId="2" borderId="0" xfId="0" applyNumberFormat="1" applyFill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14" fontId="0" fillId="0" borderId="0" xfId="0" applyNumberFormat="1" applyBorder="1" applyAlignment="1">
      <alignment horizontal="left"/>
    </xf>
    <xf numFmtId="0" fontId="2" fillId="0" borderId="0" xfId="0" applyFont="1" applyFill="1" applyBorder="1"/>
    <xf numFmtId="0" fontId="14" fillId="0" borderId="0" xfId="0" applyFont="1"/>
    <xf numFmtId="0" fontId="2" fillId="5" borderId="9" xfId="0" applyFont="1" applyFill="1" applyBorder="1" applyAlignment="1">
      <alignment horizontal="center"/>
    </xf>
    <xf numFmtId="2" fontId="10" fillId="9" borderId="26" xfId="0" applyNumberFormat="1" applyFont="1" applyFill="1" applyBorder="1" applyAlignment="1">
      <alignment horizontal="center"/>
    </xf>
    <xf numFmtId="2" fontId="10" fillId="9" borderId="27" xfId="0" applyNumberFormat="1" applyFont="1" applyFill="1" applyBorder="1" applyAlignment="1">
      <alignment horizontal="center"/>
    </xf>
    <xf numFmtId="2" fontId="10" fillId="9" borderId="29" xfId="0" applyNumberFormat="1" applyFont="1" applyFill="1" applyBorder="1" applyAlignment="1">
      <alignment horizontal="center"/>
    </xf>
    <xf numFmtId="2" fontId="10" fillId="9" borderId="30" xfId="0" applyNumberFormat="1" applyFont="1" applyFill="1" applyBorder="1" applyAlignment="1">
      <alignment horizontal="center"/>
    </xf>
    <xf numFmtId="2" fontId="10" fillId="9" borderId="32" xfId="0" applyNumberFormat="1" applyFont="1" applyFill="1" applyBorder="1" applyAlignment="1">
      <alignment horizontal="center"/>
    </xf>
    <xf numFmtId="2" fontId="10" fillId="9" borderId="33" xfId="0" applyNumberFormat="1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0" fillId="9" borderId="25" xfId="0" applyNumberFormat="1" applyFill="1" applyBorder="1"/>
    <xf numFmtId="0" fontId="0" fillId="9" borderId="26" xfId="0" applyNumberFormat="1" applyFill="1" applyBorder="1"/>
    <xf numFmtId="0" fontId="0" fillId="9" borderId="28" xfId="0" applyNumberFormat="1" applyFill="1" applyBorder="1"/>
    <xf numFmtId="0" fontId="0" fillId="9" borderId="29" xfId="0" applyNumberFormat="1" applyFill="1" applyBorder="1"/>
    <xf numFmtId="0" fontId="0" fillId="9" borderId="31" xfId="0" applyNumberFormat="1" applyFill="1" applyBorder="1"/>
    <xf numFmtId="0" fontId="0" fillId="9" borderId="32" xfId="0" applyNumberFormat="1" applyFill="1" applyBorder="1"/>
    <xf numFmtId="0" fontId="13" fillId="0" borderId="0" xfId="0" applyFont="1" applyBorder="1"/>
    <xf numFmtId="0" fontId="12" fillId="0" borderId="0" xfId="0" applyFont="1" applyBorder="1"/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5" fillId="5" borderId="0" xfId="0" applyFont="1" applyFill="1"/>
    <xf numFmtId="0" fontId="0" fillId="6" borderId="0" xfId="0" applyFill="1"/>
    <xf numFmtId="0" fontId="9" fillId="0" borderId="0" xfId="0" applyFont="1" applyAlignment="1">
      <alignment horizontal="center" vertical="center"/>
    </xf>
    <xf numFmtId="0" fontId="1" fillId="3" borderId="22" xfId="0" applyFont="1" applyFill="1" applyBorder="1" applyAlignment="1">
      <alignment horizontal="left" vertical="center"/>
    </xf>
    <xf numFmtId="0" fontId="1" fillId="3" borderId="23" xfId="0" applyFont="1" applyFill="1" applyBorder="1" applyAlignment="1">
      <alignment horizontal="left" vertical="center"/>
    </xf>
    <xf numFmtId="0" fontId="1" fillId="3" borderId="23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1" fillId="3" borderId="40" xfId="0" applyNumberFormat="1" applyFont="1" applyFill="1" applyBorder="1" applyAlignment="1">
      <alignment horizontal="center"/>
    </xf>
    <xf numFmtId="165" fontId="1" fillId="3" borderId="25" xfId="0" applyNumberFormat="1" applyFont="1" applyFill="1" applyBorder="1" applyAlignment="1">
      <alignment horizontal="center" vertical="center"/>
    </xf>
    <xf numFmtId="165" fontId="1" fillId="3" borderId="27" xfId="0" applyNumberFormat="1" applyFont="1" applyFill="1" applyBorder="1" applyAlignment="1">
      <alignment horizontal="center" vertical="center"/>
    </xf>
    <xf numFmtId="4" fontId="0" fillId="7" borderId="31" xfId="0" applyNumberFormat="1" applyFont="1" applyFill="1" applyBorder="1" applyAlignment="1">
      <alignment horizontal="center"/>
    </xf>
    <xf numFmtId="4" fontId="0" fillId="10" borderId="33" xfId="0" applyNumberFormat="1" applyFont="1" applyFill="1" applyBorder="1" applyAlignment="1">
      <alignment horizontal="center"/>
    </xf>
    <xf numFmtId="2" fontId="10" fillId="9" borderId="35" xfId="0" applyNumberFormat="1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165" fontId="1" fillId="3" borderId="34" xfId="0" applyNumberFormat="1" applyFont="1" applyFill="1" applyBorder="1" applyAlignment="1">
      <alignment horizontal="center" vertical="center"/>
    </xf>
    <xf numFmtId="4" fontId="0" fillId="10" borderId="36" xfId="0" applyNumberFormat="1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165" fontId="1" fillId="3" borderId="37" xfId="0" applyNumberFormat="1" applyFont="1" applyFill="1" applyBorder="1" applyAlignment="1">
      <alignment horizontal="center" vertical="center"/>
    </xf>
    <xf numFmtId="4" fontId="0" fillId="7" borderId="39" xfId="0" applyNumberFormat="1" applyFont="1" applyFill="1" applyBorder="1" applyAlignment="1">
      <alignment horizontal="center"/>
    </xf>
    <xf numFmtId="2" fontId="10" fillId="0" borderId="28" xfId="0" applyNumberFormat="1" applyFont="1" applyFill="1" applyBorder="1" applyAlignment="1">
      <alignment horizontal="center"/>
    </xf>
    <xf numFmtId="2" fontId="10" fillId="0" borderId="38" xfId="0" applyNumberFormat="1" applyFont="1" applyFill="1" applyBorder="1" applyAlignment="1">
      <alignment horizontal="center"/>
    </xf>
    <xf numFmtId="2" fontId="10" fillId="0" borderId="41" xfId="0" applyNumberFormat="1" applyFont="1" applyFill="1" applyBorder="1" applyAlignment="1">
      <alignment horizontal="center"/>
    </xf>
    <xf numFmtId="0" fontId="10" fillId="0" borderId="25" xfId="0" applyFont="1" applyFill="1" applyBorder="1" applyAlignment="1">
      <alignment horizontal="left"/>
    </xf>
    <xf numFmtId="0" fontId="10" fillId="0" borderId="26" xfId="0" applyFont="1" applyFill="1" applyBorder="1" applyAlignment="1">
      <alignment horizontal="left"/>
    </xf>
    <xf numFmtId="2" fontId="10" fillId="0" borderId="26" xfId="0" applyNumberFormat="1" applyFont="1" applyFill="1" applyBorder="1" applyAlignment="1">
      <alignment horizontal="center"/>
    </xf>
    <xf numFmtId="0" fontId="10" fillId="0" borderId="28" xfId="0" applyFont="1" applyFill="1" applyBorder="1" applyAlignment="1">
      <alignment horizontal="left"/>
    </xf>
    <xf numFmtId="0" fontId="10" fillId="0" borderId="29" xfId="0" applyFont="1" applyFill="1" applyBorder="1" applyAlignment="1">
      <alignment horizontal="left"/>
    </xf>
    <xf numFmtId="2" fontId="10" fillId="0" borderId="29" xfId="0" applyNumberFormat="1" applyFont="1" applyFill="1" applyBorder="1" applyAlignment="1">
      <alignment horizontal="center"/>
    </xf>
    <xf numFmtId="0" fontId="10" fillId="0" borderId="31" xfId="0" applyFont="1" applyFill="1" applyBorder="1" applyAlignment="1">
      <alignment horizontal="left"/>
    </xf>
    <xf numFmtId="0" fontId="10" fillId="0" borderId="32" xfId="0" applyFont="1" applyFill="1" applyBorder="1" applyAlignment="1">
      <alignment horizontal="left"/>
    </xf>
    <xf numFmtId="2" fontId="10" fillId="0" borderId="32" xfId="0" applyNumberFormat="1" applyFont="1" applyFill="1" applyBorder="1" applyAlignment="1">
      <alignment horizontal="center"/>
    </xf>
    <xf numFmtId="49" fontId="0" fillId="0" borderId="16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49" fontId="0" fillId="0" borderId="10" xfId="0" applyNumberFormat="1" applyBorder="1" applyAlignment="1">
      <alignment horizontal="left"/>
    </xf>
    <xf numFmtId="49" fontId="0" fillId="0" borderId="11" xfId="0" applyNumberFormat="1" applyBorder="1" applyAlignment="1">
      <alignment horizontal="left"/>
    </xf>
    <xf numFmtId="49" fontId="0" fillId="0" borderId="12" xfId="0" applyNumberFormat="1" applyBorder="1" applyAlignment="1">
      <alignment horizontal="left"/>
    </xf>
    <xf numFmtId="49" fontId="0" fillId="0" borderId="13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14" fontId="0" fillId="0" borderId="10" xfId="0" applyNumberFormat="1" applyBorder="1" applyAlignment="1">
      <alignment horizontal="left"/>
    </xf>
    <xf numFmtId="14" fontId="0" fillId="0" borderId="11" xfId="0" applyNumberFormat="1" applyBorder="1" applyAlignment="1">
      <alignment horizontal="left"/>
    </xf>
    <xf numFmtId="14" fontId="0" fillId="0" borderId="12" xfId="0" applyNumberFormat="1" applyBorder="1" applyAlignment="1">
      <alignment horizontal="left"/>
    </xf>
    <xf numFmtId="0" fontId="15" fillId="3" borderId="23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9" fillId="0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FDD9"/>
      <color rgb="FFFFFEE1"/>
      <color rgb="FFF6FAF4"/>
      <color rgb="FFECF5E7"/>
      <color rgb="FFE1FFD9"/>
      <color rgb="FFFFFD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560917</xdr:colOff>
      <xdr:row>1</xdr:row>
      <xdr:rowOff>119592</xdr:rowOff>
    </xdr:from>
    <xdr:to>
      <xdr:col>18</xdr:col>
      <xdr:colOff>22755</xdr:colOff>
      <xdr:row>2</xdr:row>
      <xdr:rowOff>176418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9584" y="310092"/>
          <a:ext cx="985838" cy="416659"/>
        </a:xfrm>
        <a:prstGeom prst="rect">
          <a:avLst/>
        </a:prstGeom>
      </xdr:spPr>
    </xdr:pic>
    <xdr:clientData/>
  </xdr:twoCellAnchor>
  <xdr:twoCellAnchor editAs="oneCell">
    <xdr:from>
      <xdr:col>15</xdr:col>
      <xdr:colOff>84667</xdr:colOff>
      <xdr:row>1</xdr:row>
      <xdr:rowOff>52917</xdr:rowOff>
    </xdr:from>
    <xdr:to>
      <xdr:col>16</xdr:col>
      <xdr:colOff>393546</xdr:colOff>
      <xdr:row>2</xdr:row>
      <xdr:rowOff>231529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1334" y="243417"/>
          <a:ext cx="1070879" cy="5384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638175</xdr:colOff>
      <xdr:row>1</xdr:row>
      <xdr:rowOff>153458</xdr:rowOff>
    </xdr:from>
    <xdr:to>
      <xdr:col>12</xdr:col>
      <xdr:colOff>100013</xdr:colOff>
      <xdr:row>2</xdr:row>
      <xdr:rowOff>210284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4758" y="343958"/>
          <a:ext cx="985838" cy="416659"/>
        </a:xfrm>
        <a:prstGeom prst="rect">
          <a:avLst/>
        </a:prstGeom>
      </xdr:spPr>
    </xdr:pic>
    <xdr:clientData/>
  </xdr:twoCellAnchor>
  <xdr:twoCellAnchor editAs="oneCell">
    <xdr:from>
      <xdr:col>9</xdr:col>
      <xdr:colOff>204258</xdr:colOff>
      <xdr:row>1</xdr:row>
      <xdr:rowOff>86783</xdr:rowOff>
    </xdr:from>
    <xdr:to>
      <xdr:col>10</xdr:col>
      <xdr:colOff>513137</xdr:colOff>
      <xdr:row>2</xdr:row>
      <xdr:rowOff>265395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8841" y="277283"/>
          <a:ext cx="1070879" cy="5384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94191</xdr:colOff>
      <xdr:row>1</xdr:row>
      <xdr:rowOff>89957</xdr:rowOff>
    </xdr:from>
    <xdr:to>
      <xdr:col>10</xdr:col>
      <xdr:colOff>408362</xdr:colOff>
      <xdr:row>3</xdr:row>
      <xdr:rowOff>230469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8024" y="280457"/>
          <a:ext cx="1076171" cy="542679"/>
        </a:xfrm>
        <a:prstGeom prst="rect">
          <a:avLst/>
        </a:prstGeom>
      </xdr:spPr>
    </xdr:pic>
    <xdr:clientData/>
  </xdr:twoCellAnchor>
  <xdr:twoCellAnchor editAs="oneCell">
    <xdr:from>
      <xdr:col>10</xdr:col>
      <xdr:colOff>403225</xdr:colOff>
      <xdr:row>1</xdr:row>
      <xdr:rowOff>146051</xdr:rowOff>
    </xdr:from>
    <xdr:to>
      <xdr:col>11</xdr:col>
      <xdr:colOff>637647</xdr:colOff>
      <xdr:row>3</xdr:row>
      <xdr:rowOff>164777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9058" y="336551"/>
          <a:ext cx="996422" cy="420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171450</xdr:rowOff>
        </xdr:from>
        <xdr:to>
          <xdr:col>6</xdr:col>
          <xdr:colOff>371475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Aktuellen Monat anzeigen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200025</xdr:rowOff>
        </xdr:from>
        <xdr:to>
          <xdr:col>6</xdr:col>
          <xdr:colOff>371475</xdr:colOff>
          <xdr:row>4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Monate anzeigen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5981700</xdr:colOff>
      <xdr:row>1</xdr:row>
      <xdr:rowOff>95250</xdr:rowOff>
    </xdr:from>
    <xdr:to>
      <xdr:col>4</xdr:col>
      <xdr:colOff>7052579</xdr:colOff>
      <xdr:row>3</xdr:row>
      <xdr:rowOff>235762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5450" y="285750"/>
          <a:ext cx="1070879" cy="540562"/>
        </a:xfrm>
        <a:prstGeom prst="rect">
          <a:avLst/>
        </a:prstGeom>
      </xdr:spPr>
    </xdr:pic>
    <xdr:clientData/>
  </xdr:twoCellAnchor>
  <xdr:twoCellAnchor editAs="oneCell">
    <xdr:from>
      <xdr:col>4</xdr:col>
      <xdr:colOff>7200900</xdr:colOff>
      <xdr:row>1</xdr:row>
      <xdr:rowOff>142875</xdr:rowOff>
    </xdr:from>
    <xdr:to>
      <xdr:col>4</xdr:col>
      <xdr:colOff>8186738</xdr:colOff>
      <xdr:row>3</xdr:row>
      <xdr:rowOff>161601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4650" y="333375"/>
          <a:ext cx="985838" cy="4187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32212-EAC2-48BF-A066-DADC63935966}">
  <sheetPr codeName="Tabelle1">
    <pageSetUpPr fitToPage="1"/>
  </sheetPr>
  <dimension ref="A1:BU37"/>
  <sheetViews>
    <sheetView showGridLines="0" zoomScale="90" zoomScaleNormal="90" workbookViewId="0">
      <selection activeCell="D45" sqref="D45"/>
    </sheetView>
  </sheetViews>
  <sheetFormatPr baseColWidth="10" defaultRowHeight="15" x14ac:dyDescent="0.25"/>
  <cols>
    <col min="1" max="1" width="5.7109375" customWidth="1"/>
    <col min="3" max="4" width="1.85546875" customWidth="1"/>
  </cols>
  <sheetData>
    <row r="1" spans="1:7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</row>
    <row r="2" spans="1:73" ht="28.5" x14ac:dyDescent="0.45">
      <c r="A2" s="1"/>
      <c r="B2" s="2" t="s">
        <v>25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5"/>
    </row>
    <row r="3" spans="1:73" ht="28.5" x14ac:dyDescent="0.45">
      <c r="A3" s="1"/>
      <c r="B3" s="3" t="s">
        <v>26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5"/>
    </row>
    <row r="4" spans="1:73" ht="15" customHeight="1" x14ac:dyDescent="0.45">
      <c r="A4" s="1"/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5"/>
    </row>
    <row r="6" spans="1:73" x14ac:dyDescent="0.25">
      <c r="B6" s="69">
        <v>1</v>
      </c>
      <c r="C6" s="70" t="s">
        <v>27</v>
      </c>
      <c r="D6" s="70"/>
      <c r="E6" s="70"/>
      <c r="F6" s="71"/>
      <c r="G6" s="71"/>
      <c r="H6" s="71"/>
      <c r="I6" s="71"/>
    </row>
    <row r="8" spans="1:73" x14ac:dyDescent="0.25">
      <c r="C8" s="72"/>
      <c r="D8" s="15"/>
      <c r="E8" t="s">
        <v>28</v>
      </c>
    </row>
    <row r="9" spans="1:73" x14ac:dyDescent="0.25">
      <c r="C9" s="72"/>
      <c r="D9" s="15"/>
      <c r="E9" t="s">
        <v>29</v>
      </c>
    </row>
    <row r="10" spans="1:73" x14ac:dyDescent="0.25">
      <c r="C10" s="72"/>
      <c r="D10" s="15"/>
      <c r="E10" t="s">
        <v>50</v>
      </c>
    </row>
    <row r="11" spans="1:73" x14ac:dyDescent="0.25">
      <c r="C11" s="72"/>
      <c r="D11" s="15"/>
      <c r="E11" t="s">
        <v>30</v>
      </c>
    </row>
    <row r="12" spans="1:73" x14ac:dyDescent="0.25">
      <c r="C12" s="72"/>
      <c r="D12" s="15"/>
      <c r="E12" t="s">
        <v>31</v>
      </c>
    </row>
    <row r="13" spans="1:73" x14ac:dyDescent="0.25">
      <c r="C13" s="72"/>
      <c r="D13" s="15"/>
      <c r="E13" t="s">
        <v>32</v>
      </c>
    </row>
    <row r="14" spans="1:73" x14ac:dyDescent="0.25">
      <c r="C14" s="72"/>
      <c r="D14" s="15"/>
      <c r="F14" s="52" t="s">
        <v>33</v>
      </c>
    </row>
    <row r="16" spans="1:73" x14ac:dyDescent="0.25">
      <c r="B16" s="69">
        <v>2</v>
      </c>
      <c r="C16" s="70" t="s">
        <v>38</v>
      </c>
      <c r="D16" s="70"/>
      <c r="E16" s="71"/>
      <c r="F16" s="71"/>
      <c r="G16" s="71"/>
      <c r="H16" s="71"/>
      <c r="I16" s="71"/>
    </row>
    <row r="18" spans="2:9" x14ac:dyDescent="0.25">
      <c r="C18" s="72"/>
      <c r="D18" s="15"/>
      <c r="E18" t="s">
        <v>52</v>
      </c>
    </row>
    <row r="19" spans="2:9" x14ac:dyDescent="0.25">
      <c r="C19" s="72"/>
      <c r="D19" s="15"/>
      <c r="E19" t="s">
        <v>51</v>
      </c>
    </row>
    <row r="20" spans="2:9" x14ac:dyDescent="0.25">
      <c r="C20" s="72"/>
      <c r="D20" s="15"/>
      <c r="E20" t="s">
        <v>35</v>
      </c>
    </row>
    <row r="21" spans="2:9" x14ac:dyDescent="0.25">
      <c r="C21" s="72"/>
      <c r="D21" s="15"/>
      <c r="E21" t="s">
        <v>36</v>
      </c>
    </row>
    <row r="22" spans="2:9" x14ac:dyDescent="0.25">
      <c r="C22" s="72"/>
      <c r="D22" s="15"/>
      <c r="E22" t="s">
        <v>37</v>
      </c>
    </row>
    <row r="23" spans="2:9" x14ac:dyDescent="0.25">
      <c r="C23" s="72"/>
      <c r="D23" s="15"/>
      <c r="E23" t="s">
        <v>57</v>
      </c>
    </row>
    <row r="24" spans="2:9" x14ac:dyDescent="0.25">
      <c r="C24" s="72"/>
      <c r="D24" s="15"/>
      <c r="E24" t="s">
        <v>53</v>
      </c>
    </row>
    <row r="25" spans="2:9" x14ac:dyDescent="0.25">
      <c r="C25" s="72"/>
      <c r="D25" s="15"/>
      <c r="E25" t="s">
        <v>54</v>
      </c>
    </row>
    <row r="26" spans="2:9" x14ac:dyDescent="0.25">
      <c r="C26" s="72"/>
      <c r="D26" s="15"/>
      <c r="E26" t="s">
        <v>55</v>
      </c>
    </row>
    <row r="27" spans="2:9" x14ac:dyDescent="0.25">
      <c r="C27" s="72"/>
      <c r="D27" s="15"/>
      <c r="E27" t="s">
        <v>56</v>
      </c>
    </row>
    <row r="28" spans="2:9" x14ac:dyDescent="0.25">
      <c r="C28" s="72"/>
      <c r="D28" s="15"/>
    </row>
    <row r="30" spans="2:9" x14ac:dyDescent="0.25">
      <c r="B30" s="69">
        <v>3</v>
      </c>
      <c r="C30" s="70" t="s">
        <v>39</v>
      </c>
      <c r="D30" s="70"/>
      <c r="E30" s="71"/>
      <c r="F30" s="71"/>
      <c r="G30" s="71"/>
      <c r="H30" s="71"/>
      <c r="I30" s="71"/>
    </row>
    <row r="31" spans="2:9" x14ac:dyDescent="0.25">
      <c r="D31" s="15"/>
    </row>
    <row r="32" spans="2:9" x14ac:dyDescent="0.25">
      <c r="C32" s="72"/>
      <c r="D32" s="15"/>
      <c r="E32" t="s">
        <v>59</v>
      </c>
    </row>
    <row r="33" spans="3:5" x14ac:dyDescent="0.25">
      <c r="C33" s="72"/>
      <c r="D33" s="15"/>
      <c r="E33" t="s">
        <v>40</v>
      </c>
    </row>
    <row r="34" spans="3:5" x14ac:dyDescent="0.25">
      <c r="C34" s="72"/>
      <c r="D34" s="15"/>
      <c r="E34" t="s">
        <v>34</v>
      </c>
    </row>
    <row r="35" spans="3:5" x14ac:dyDescent="0.25">
      <c r="C35" s="72"/>
      <c r="D35" s="15"/>
      <c r="E35" t="s">
        <v>58</v>
      </c>
    </row>
    <row r="36" spans="3:5" x14ac:dyDescent="0.25">
      <c r="C36" s="72"/>
      <c r="D36" s="15"/>
      <c r="E36" t="s">
        <v>41</v>
      </c>
    </row>
    <row r="37" spans="3:5" x14ac:dyDescent="0.25">
      <c r="C37" s="72"/>
      <c r="D37" s="15"/>
      <c r="E37" t="s">
        <v>42</v>
      </c>
    </row>
  </sheetData>
  <pageMargins left="0.7" right="0.7" top="0.78740157499999996" bottom="0.78740157499999996" header="0.3" footer="0.3"/>
  <pageSetup paperSize="9" scale="4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328BB-068E-4F73-A7C7-9BE06E1AD83E}">
  <sheetPr codeName="Tabelle2">
    <tabColor theme="9" tint="0.59999389629810485"/>
    <pageSetUpPr fitToPage="1"/>
  </sheetPr>
  <dimension ref="A1:BT42"/>
  <sheetViews>
    <sheetView showGridLines="0" tabSelected="1" zoomScale="90" zoomScaleNormal="90" workbookViewId="0">
      <selection activeCell="R38" sqref="R38"/>
    </sheetView>
  </sheetViews>
  <sheetFormatPr baseColWidth="10" defaultRowHeight="15" x14ac:dyDescent="0.25"/>
  <cols>
    <col min="1" max="1" width="5.7109375" customWidth="1"/>
    <col min="2" max="2" width="6.28515625" customWidth="1"/>
    <col min="3" max="3" width="18.5703125" customWidth="1"/>
    <col min="14" max="14" width="0" hidden="1" customWidth="1"/>
  </cols>
  <sheetData>
    <row r="1" spans="1:7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</row>
    <row r="2" spans="1:72" ht="28.5" x14ac:dyDescent="0.45">
      <c r="A2" s="1"/>
      <c r="B2" s="2" t="s">
        <v>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5"/>
    </row>
    <row r="3" spans="1:72" ht="28.5" x14ac:dyDescent="0.45">
      <c r="A3" s="1"/>
      <c r="B3" s="3" t="s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5"/>
    </row>
    <row r="4" spans="1:72" ht="15" customHeight="1" x14ac:dyDescent="0.45">
      <c r="A4" s="1"/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5"/>
    </row>
    <row r="6" spans="1:72" ht="16.5" thickBot="1" x14ac:dyDescent="0.3">
      <c r="B6" s="109" t="s">
        <v>1</v>
      </c>
      <c r="C6" s="110"/>
      <c r="D6" s="110"/>
      <c r="P6" s="67"/>
      <c r="Q6" s="8"/>
      <c r="R6" s="8"/>
      <c r="S6" s="8"/>
    </row>
    <row r="7" spans="1:72" ht="15.75" thickTop="1" x14ac:dyDescent="0.25">
      <c r="B7" s="4"/>
      <c r="C7" s="5"/>
      <c r="D7" s="5"/>
      <c r="E7" s="5"/>
      <c r="F7" s="5"/>
      <c r="G7" s="5"/>
      <c r="H7" s="5"/>
      <c r="I7" s="5"/>
      <c r="J7" s="5"/>
      <c r="K7" s="5"/>
      <c r="L7" s="6"/>
      <c r="P7" s="68"/>
      <c r="Q7" s="8"/>
      <c r="R7" s="8"/>
      <c r="S7" s="8"/>
    </row>
    <row r="8" spans="1:72" x14ac:dyDescent="0.25">
      <c r="B8" s="7"/>
      <c r="C8" s="14" t="s">
        <v>5</v>
      </c>
      <c r="D8" s="111" t="s">
        <v>16</v>
      </c>
      <c r="E8" s="112"/>
      <c r="F8" s="112"/>
      <c r="G8" s="112"/>
      <c r="H8" s="112"/>
      <c r="I8" s="112"/>
      <c r="J8" s="112"/>
      <c r="K8" s="113"/>
      <c r="L8" s="9"/>
      <c r="P8" s="68"/>
      <c r="Q8" s="8"/>
      <c r="R8" s="8"/>
      <c r="S8" s="8"/>
    </row>
    <row r="9" spans="1:72" x14ac:dyDescent="0.25">
      <c r="B9" s="7"/>
      <c r="C9" s="8"/>
      <c r="D9" s="17"/>
      <c r="E9" s="17"/>
      <c r="F9" s="17"/>
      <c r="G9" s="17"/>
      <c r="H9" s="17"/>
      <c r="I9" s="17"/>
      <c r="J9" s="17"/>
      <c r="K9" s="17"/>
      <c r="L9" s="9"/>
      <c r="P9" s="48"/>
    </row>
    <row r="10" spans="1:72" x14ac:dyDescent="0.25">
      <c r="B10" s="7"/>
      <c r="C10" s="14" t="s">
        <v>2</v>
      </c>
      <c r="D10" s="111"/>
      <c r="E10" s="112"/>
      <c r="F10" s="112"/>
      <c r="G10" s="112"/>
      <c r="H10" s="112"/>
      <c r="I10" s="112"/>
      <c r="J10" s="112"/>
      <c r="K10" s="113"/>
      <c r="L10" s="9"/>
      <c r="P10" s="48"/>
    </row>
    <row r="11" spans="1:72" x14ac:dyDescent="0.25">
      <c r="B11" s="7"/>
      <c r="C11" s="14"/>
      <c r="D11" s="24"/>
      <c r="E11" s="24"/>
      <c r="F11" s="24"/>
      <c r="G11" s="24"/>
      <c r="H11" s="24"/>
      <c r="I11" s="24"/>
      <c r="J11" s="24"/>
      <c r="K11" s="24"/>
      <c r="L11" s="9"/>
      <c r="P11" s="48"/>
    </row>
    <row r="12" spans="1:72" x14ac:dyDescent="0.25">
      <c r="B12" s="7"/>
      <c r="C12" s="14" t="s">
        <v>3</v>
      </c>
      <c r="D12" s="114"/>
      <c r="E12" s="115"/>
      <c r="F12" s="115"/>
      <c r="G12" s="115"/>
      <c r="H12" s="115"/>
      <c r="I12" s="115"/>
      <c r="J12" s="115"/>
      <c r="K12" s="116"/>
      <c r="L12" s="9"/>
      <c r="P12" s="48"/>
    </row>
    <row r="13" spans="1:72" x14ac:dyDescent="0.25">
      <c r="B13" s="7"/>
      <c r="C13" s="8"/>
      <c r="D13" s="106"/>
      <c r="E13" s="107"/>
      <c r="F13" s="107"/>
      <c r="G13" s="107"/>
      <c r="H13" s="107"/>
      <c r="I13" s="107"/>
      <c r="J13" s="107"/>
      <c r="K13" s="108"/>
      <c r="L13" s="9"/>
      <c r="P13" s="48"/>
    </row>
    <row r="14" spans="1:72" x14ac:dyDescent="0.25">
      <c r="B14" s="7"/>
      <c r="C14" s="8"/>
      <c r="D14" s="106"/>
      <c r="E14" s="107"/>
      <c r="F14" s="107"/>
      <c r="G14" s="107"/>
      <c r="H14" s="107"/>
      <c r="I14" s="107"/>
      <c r="J14" s="107"/>
      <c r="K14" s="108"/>
      <c r="L14" s="9"/>
    </row>
    <row r="15" spans="1:72" x14ac:dyDescent="0.25">
      <c r="B15" s="7"/>
      <c r="C15" s="8"/>
      <c r="D15" s="106"/>
      <c r="E15" s="107"/>
      <c r="F15" s="107"/>
      <c r="G15" s="107"/>
      <c r="H15" s="107"/>
      <c r="I15" s="107"/>
      <c r="J15" s="107"/>
      <c r="K15" s="108"/>
      <c r="L15" s="9"/>
    </row>
    <row r="16" spans="1:72" x14ac:dyDescent="0.25">
      <c r="B16" s="7"/>
      <c r="C16" s="8"/>
      <c r="D16" s="117"/>
      <c r="E16" s="118"/>
      <c r="F16" s="118"/>
      <c r="G16" s="118"/>
      <c r="H16" s="118"/>
      <c r="I16" s="118"/>
      <c r="J16" s="118"/>
      <c r="K16" s="119"/>
      <c r="L16" s="9"/>
    </row>
    <row r="17" spans="2:12" ht="15.75" thickBot="1" x14ac:dyDescent="0.3">
      <c r="B17" s="10"/>
      <c r="C17" s="11"/>
      <c r="D17" s="18"/>
      <c r="E17" s="18"/>
      <c r="F17" s="18"/>
      <c r="G17" s="18"/>
      <c r="H17" s="18"/>
      <c r="I17" s="18"/>
      <c r="J17" s="18"/>
      <c r="K17" s="18"/>
      <c r="L17" s="12"/>
    </row>
    <row r="18" spans="2:12" ht="15.75" thickTop="1" x14ac:dyDescent="0.25">
      <c r="D18" s="19"/>
      <c r="E18" s="19"/>
      <c r="F18" s="19"/>
      <c r="G18" s="19"/>
      <c r="H18" s="19"/>
      <c r="I18" s="19"/>
      <c r="J18" s="19"/>
      <c r="K18" s="19"/>
    </row>
    <row r="19" spans="2:12" ht="16.5" thickBot="1" x14ac:dyDescent="0.3">
      <c r="B19" s="109" t="s">
        <v>4</v>
      </c>
      <c r="C19" s="110"/>
      <c r="D19" s="110"/>
      <c r="E19" s="19"/>
      <c r="F19" s="19"/>
      <c r="G19" s="19"/>
      <c r="H19" s="19"/>
      <c r="I19" s="19"/>
      <c r="J19" s="19"/>
      <c r="K19" s="19"/>
    </row>
    <row r="20" spans="2:12" ht="15.75" thickTop="1" x14ac:dyDescent="0.25">
      <c r="B20" s="4"/>
      <c r="C20" s="5"/>
      <c r="D20" s="20"/>
      <c r="E20" s="20"/>
      <c r="F20" s="20"/>
      <c r="G20" s="20"/>
      <c r="H20" s="20"/>
      <c r="I20" s="20"/>
      <c r="J20" s="20"/>
      <c r="K20" s="20"/>
      <c r="L20" s="6"/>
    </row>
    <row r="21" spans="2:12" x14ac:dyDescent="0.25">
      <c r="B21" s="7"/>
      <c r="C21" s="14" t="s">
        <v>2</v>
      </c>
      <c r="D21" s="111"/>
      <c r="E21" s="112"/>
      <c r="F21" s="112"/>
      <c r="G21" s="112"/>
      <c r="H21" s="112"/>
      <c r="I21" s="112"/>
      <c r="J21" s="112"/>
      <c r="K21" s="113"/>
      <c r="L21" s="9"/>
    </row>
    <row r="22" spans="2:12" x14ac:dyDescent="0.25">
      <c r="B22" s="7"/>
      <c r="C22" s="14"/>
      <c r="D22" s="24"/>
      <c r="E22" s="24"/>
      <c r="F22" s="24"/>
      <c r="G22" s="24"/>
      <c r="H22" s="24"/>
      <c r="I22" s="24"/>
      <c r="J22" s="24"/>
      <c r="K22" s="24"/>
      <c r="L22" s="9"/>
    </row>
    <row r="23" spans="2:12" x14ac:dyDescent="0.25">
      <c r="B23" s="7"/>
      <c r="C23" s="14" t="s">
        <v>3</v>
      </c>
      <c r="D23" s="114"/>
      <c r="E23" s="115"/>
      <c r="F23" s="115"/>
      <c r="G23" s="115"/>
      <c r="H23" s="115"/>
      <c r="I23" s="115"/>
      <c r="J23" s="115"/>
      <c r="K23" s="116"/>
      <c r="L23" s="9"/>
    </row>
    <row r="24" spans="2:12" x14ac:dyDescent="0.25">
      <c r="B24" s="7"/>
      <c r="C24" s="8"/>
      <c r="D24" s="106"/>
      <c r="E24" s="107"/>
      <c r="F24" s="107"/>
      <c r="G24" s="107"/>
      <c r="H24" s="107"/>
      <c r="I24" s="107"/>
      <c r="J24" s="107"/>
      <c r="K24" s="108"/>
      <c r="L24" s="9"/>
    </row>
    <row r="25" spans="2:12" x14ac:dyDescent="0.25">
      <c r="B25" s="7"/>
      <c r="C25" s="8"/>
      <c r="D25" s="106"/>
      <c r="E25" s="107"/>
      <c r="F25" s="107"/>
      <c r="G25" s="107"/>
      <c r="H25" s="107"/>
      <c r="I25" s="107"/>
      <c r="J25" s="107"/>
      <c r="K25" s="108"/>
      <c r="L25" s="9"/>
    </row>
    <row r="26" spans="2:12" x14ac:dyDescent="0.25">
      <c r="B26" s="7"/>
      <c r="C26" s="8"/>
      <c r="D26" s="106"/>
      <c r="E26" s="107"/>
      <c r="F26" s="107"/>
      <c r="G26" s="107"/>
      <c r="H26" s="107"/>
      <c r="I26" s="107"/>
      <c r="J26" s="107"/>
      <c r="K26" s="108"/>
      <c r="L26" s="9"/>
    </row>
    <row r="27" spans="2:12" x14ac:dyDescent="0.25">
      <c r="B27" s="7"/>
      <c r="C27" s="8"/>
      <c r="D27" s="117"/>
      <c r="E27" s="118"/>
      <c r="F27" s="118"/>
      <c r="G27" s="118"/>
      <c r="H27" s="118"/>
      <c r="I27" s="118"/>
      <c r="J27" s="118"/>
      <c r="K27" s="119"/>
      <c r="L27" s="9"/>
    </row>
    <row r="28" spans="2:12" ht="15.75" thickBot="1" x14ac:dyDescent="0.3">
      <c r="B28" s="10"/>
      <c r="C28" s="11"/>
      <c r="D28" s="11"/>
      <c r="E28" s="11"/>
      <c r="F28" s="11"/>
      <c r="G28" s="11"/>
      <c r="H28" s="11"/>
      <c r="I28" s="11"/>
      <c r="J28" s="11"/>
      <c r="K28" s="11"/>
      <c r="L28" s="12"/>
    </row>
    <row r="29" spans="2:12" ht="15.75" thickTop="1" x14ac:dyDescent="0.25"/>
    <row r="30" spans="2:12" ht="16.5" thickBot="1" x14ac:dyDescent="0.3">
      <c r="B30" s="109" t="s">
        <v>11</v>
      </c>
      <c r="C30" s="110"/>
      <c r="D30" s="110"/>
      <c r="E30" s="19"/>
      <c r="F30" s="19"/>
      <c r="G30" s="19"/>
      <c r="H30" s="19"/>
      <c r="I30" s="19"/>
      <c r="J30" s="19"/>
      <c r="K30" s="19"/>
    </row>
    <row r="31" spans="2:12" ht="15.75" thickTop="1" x14ac:dyDescent="0.25">
      <c r="B31" s="4"/>
      <c r="C31" s="5"/>
      <c r="D31" s="20"/>
      <c r="E31" s="20"/>
      <c r="F31" s="20"/>
      <c r="G31" s="20"/>
      <c r="H31" s="20"/>
      <c r="I31" s="20"/>
      <c r="J31" s="20"/>
      <c r="K31" s="20"/>
      <c r="L31" s="6"/>
    </row>
    <row r="32" spans="2:12" x14ac:dyDescent="0.25">
      <c r="B32" s="7"/>
      <c r="C32" s="14" t="s">
        <v>12</v>
      </c>
      <c r="D32" s="120">
        <v>43101</v>
      </c>
      <c r="E32" s="121"/>
      <c r="F32" s="121"/>
      <c r="G32" s="121"/>
      <c r="H32" s="121"/>
      <c r="I32" s="121"/>
      <c r="J32" s="121"/>
      <c r="K32" s="122"/>
      <c r="L32" s="9"/>
    </row>
    <row r="33" spans="2:14" x14ac:dyDescent="0.25">
      <c r="B33" s="7"/>
      <c r="C33" s="14"/>
      <c r="D33" s="50"/>
      <c r="E33" s="50"/>
      <c r="F33" s="50"/>
      <c r="G33" s="50"/>
      <c r="H33" s="50"/>
      <c r="I33" s="50"/>
      <c r="J33" s="50"/>
      <c r="K33" s="50"/>
      <c r="L33" s="9"/>
    </row>
    <row r="34" spans="2:14" x14ac:dyDescent="0.25">
      <c r="B34" s="7"/>
      <c r="C34" s="14" t="s">
        <v>17</v>
      </c>
      <c r="D34" s="120" t="s">
        <v>18</v>
      </c>
      <c r="E34" s="121"/>
      <c r="F34" s="121"/>
      <c r="G34" s="121"/>
      <c r="H34" s="121"/>
      <c r="I34" s="121"/>
      <c r="J34" s="121"/>
      <c r="K34" s="122"/>
      <c r="L34" s="9"/>
    </row>
    <row r="35" spans="2:14" x14ac:dyDescent="0.25">
      <c r="B35" s="7"/>
      <c r="C35" s="14"/>
      <c r="D35" s="24"/>
      <c r="E35" s="24"/>
      <c r="F35" s="24"/>
      <c r="G35" s="24"/>
      <c r="H35" s="24"/>
      <c r="I35" s="24"/>
      <c r="J35" s="24"/>
      <c r="K35" s="24"/>
      <c r="L35" s="9"/>
    </row>
    <row r="36" spans="2:14" x14ac:dyDescent="0.25">
      <c r="B36" s="7"/>
      <c r="C36" s="14" t="s">
        <v>19</v>
      </c>
      <c r="D36" s="114" t="s">
        <v>22</v>
      </c>
      <c r="E36" s="115"/>
      <c r="F36" s="115"/>
      <c r="G36" s="115"/>
      <c r="H36" s="115"/>
      <c r="I36" s="115"/>
      <c r="J36" s="115"/>
      <c r="K36" s="116"/>
      <c r="L36" s="9"/>
      <c r="N36" t="str">
        <f>IF(D37="","",";")</f>
        <v>;</v>
      </c>
    </row>
    <row r="37" spans="2:14" x14ac:dyDescent="0.25">
      <c r="B37" s="7"/>
      <c r="C37" s="51" t="s">
        <v>20</v>
      </c>
      <c r="D37" s="106" t="s">
        <v>24</v>
      </c>
      <c r="E37" s="107"/>
      <c r="F37" s="107"/>
      <c r="G37" s="107"/>
      <c r="H37" s="107"/>
      <c r="I37" s="107"/>
      <c r="J37" s="107"/>
      <c r="K37" s="108"/>
      <c r="L37" s="9"/>
      <c r="N37" t="str">
        <f t="shared" ref="N37:N40" si="0">IF(D38="","",";")</f>
        <v>;</v>
      </c>
    </row>
    <row r="38" spans="2:14" x14ac:dyDescent="0.25">
      <c r="B38" s="7"/>
      <c r="C38" s="51" t="s">
        <v>21</v>
      </c>
      <c r="D38" s="106" t="s">
        <v>23</v>
      </c>
      <c r="E38" s="107"/>
      <c r="F38" s="107"/>
      <c r="G38" s="107"/>
      <c r="H38" s="107"/>
      <c r="I38" s="107"/>
      <c r="J38" s="107"/>
      <c r="K38" s="108"/>
      <c r="L38" s="9"/>
      <c r="N38" t="str">
        <f t="shared" si="0"/>
        <v/>
      </c>
    </row>
    <row r="39" spans="2:14" x14ac:dyDescent="0.25">
      <c r="B39" s="7"/>
      <c r="C39" s="8"/>
      <c r="D39" s="106"/>
      <c r="E39" s="107"/>
      <c r="F39" s="107"/>
      <c r="G39" s="107"/>
      <c r="H39" s="107"/>
      <c r="I39" s="107"/>
      <c r="J39" s="107"/>
      <c r="K39" s="108"/>
      <c r="L39" s="9"/>
      <c r="N39" t="str">
        <f t="shared" si="0"/>
        <v/>
      </c>
    </row>
    <row r="40" spans="2:14" x14ac:dyDescent="0.25">
      <c r="B40" s="7"/>
      <c r="C40" s="8"/>
      <c r="D40" s="117"/>
      <c r="E40" s="118"/>
      <c r="F40" s="118"/>
      <c r="G40" s="118"/>
      <c r="H40" s="118"/>
      <c r="I40" s="118"/>
      <c r="J40" s="118"/>
      <c r="K40" s="119"/>
      <c r="L40" s="9"/>
      <c r="N40" t="str">
        <f t="shared" si="0"/>
        <v/>
      </c>
    </row>
    <row r="41" spans="2:14" ht="15.75" thickBot="1" x14ac:dyDescent="0.3">
      <c r="B41" s="10"/>
      <c r="C41" s="11"/>
      <c r="D41" s="11"/>
      <c r="E41" s="11"/>
      <c r="F41" s="11"/>
      <c r="G41" s="11"/>
      <c r="H41" s="11"/>
      <c r="I41" s="11"/>
      <c r="J41" s="11"/>
      <c r="K41" s="11"/>
      <c r="L41" s="12"/>
    </row>
    <row r="42" spans="2:14" ht="15.75" thickTop="1" x14ac:dyDescent="0.25"/>
  </sheetData>
  <mergeCells count="23">
    <mergeCell ref="D38:K38"/>
    <mergeCell ref="D39:K39"/>
    <mergeCell ref="D40:K40"/>
    <mergeCell ref="D25:K25"/>
    <mergeCell ref="D26:K26"/>
    <mergeCell ref="D27:K27"/>
    <mergeCell ref="D32:K32"/>
    <mergeCell ref="D36:K36"/>
    <mergeCell ref="D37:K37"/>
    <mergeCell ref="D34:K34"/>
    <mergeCell ref="D24:K24"/>
    <mergeCell ref="B6:D6"/>
    <mergeCell ref="B19:D19"/>
    <mergeCell ref="B30:D30"/>
    <mergeCell ref="D8:K8"/>
    <mergeCell ref="D10:K10"/>
    <mergeCell ref="D12:K12"/>
    <mergeCell ref="D13:K13"/>
    <mergeCell ref="D14:K14"/>
    <mergeCell ref="D15:K15"/>
    <mergeCell ref="D16:K16"/>
    <mergeCell ref="D21:K21"/>
    <mergeCell ref="D23:K23"/>
  </mergeCells>
  <pageMargins left="0.70866141732283472" right="0.70866141732283472" top="0.78740157480314965" bottom="0.78740157480314965" header="0.31496062992125984" footer="0.31496062992125984"/>
  <pageSetup paperSize="9" scale="74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8526E-0127-41C6-B22D-7EE815D16433}">
  <sheetPr codeName="Tabelle4">
    <tabColor theme="9" tint="0.59999389629810485"/>
    <pageSetUpPr fitToPage="1"/>
  </sheetPr>
  <dimension ref="A1:DO51"/>
  <sheetViews>
    <sheetView showGridLines="0" zoomScale="90" zoomScaleNormal="90" workbookViewId="0">
      <selection activeCell="F24" sqref="F24"/>
    </sheetView>
  </sheetViews>
  <sheetFormatPr baseColWidth="10" defaultRowHeight="15" x14ac:dyDescent="0.25"/>
  <cols>
    <col min="1" max="1" width="5.7109375" style="13" customWidth="1"/>
    <col min="2" max="2" width="24.7109375" style="13" customWidth="1"/>
    <col min="3" max="3" width="35.85546875" customWidth="1"/>
    <col min="4" max="7" width="11.42578125" style="13" customWidth="1"/>
    <col min="9" max="9" width="11.42578125" customWidth="1"/>
    <col min="10" max="10" width="11.42578125" hidden="1" customWidth="1"/>
    <col min="11" max="11" width="11.42578125" customWidth="1"/>
    <col min="13" max="13" width="2.7109375" customWidth="1"/>
    <col min="14" max="30" width="10.7109375" customWidth="1"/>
    <col min="31" max="37" width="11.42578125" customWidth="1"/>
  </cols>
  <sheetData>
    <row r="1" spans="1:119" x14ac:dyDescent="0.25">
      <c r="A1" s="25"/>
      <c r="B1" s="25"/>
      <c r="C1" s="1"/>
      <c r="D1" s="25"/>
      <c r="E1" s="25"/>
      <c r="F1" s="25"/>
      <c r="G1" s="25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</row>
    <row r="2" spans="1:119" ht="15.75" x14ac:dyDescent="0.25">
      <c r="A2" s="25"/>
      <c r="B2" s="21" t="s">
        <v>4</v>
      </c>
      <c r="C2" s="25"/>
      <c r="D2" s="25"/>
      <c r="E2" s="25"/>
      <c r="F2" s="25"/>
      <c r="G2" s="25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</row>
    <row r="3" spans="1:119" ht="15.75" x14ac:dyDescent="0.25">
      <c r="A3" s="25"/>
      <c r="B3" s="21" t="str">
        <f>IF(Übersicht!D8="","",Übersicht!D8)</f>
        <v>ADxxxxx_XXXXXXXXXX</v>
      </c>
      <c r="C3" s="25"/>
      <c r="D3" s="25"/>
      <c r="E3" s="25"/>
      <c r="F3" s="25"/>
      <c r="G3" s="25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</row>
    <row r="4" spans="1:119" ht="21" x14ac:dyDescent="0.35">
      <c r="A4" s="25"/>
      <c r="B4" s="16" t="str">
        <f>CONCATENATE("Gesamtprojektübersicht ",TEXT(DATE(YEAR(Übersicht!$D$32),MONTH(Übersicht!$D$32),DAY(Übersicht!$D$32)),"MMMM JJJJ")," - ",TEXT(DATE(YEAR(Übersicht!$D$32),MONTH(Übersicht!$D$32)+12,DAY(Übersicht!$D$32)),"MMMM JJJJ"))</f>
        <v>Gesamtprojektübersicht Januar 2018 - Januar 2019</v>
      </c>
      <c r="C4" s="47"/>
      <c r="D4" s="47"/>
      <c r="E4" s="47"/>
      <c r="F4" s="47"/>
      <c r="G4" s="4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</row>
    <row r="5" spans="1:119" x14ac:dyDescent="0.25">
      <c r="A5" s="25"/>
      <c r="B5" s="25"/>
      <c r="C5" s="1"/>
      <c r="D5" s="25"/>
      <c r="E5" s="25"/>
      <c r="F5" s="25"/>
      <c r="G5" s="25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</row>
    <row r="6" spans="1:119" s="15" customFormat="1" hidden="1" x14ac:dyDescent="0.25">
      <c r="A6" s="124"/>
      <c r="B6" s="124"/>
      <c r="D6" s="124"/>
      <c r="E6" s="124"/>
      <c r="F6" s="124"/>
      <c r="G6" s="124"/>
      <c r="N6" s="125">
        <f>YEAR(N7)*100+MONTH(N7)</f>
        <v>201801</v>
      </c>
      <c r="O6" s="125">
        <f t="shared" ref="O6:AK6" si="0">YEAR(O7)*100+MONTH(O7)</f>
        <v>201801</v>
      </c>
      <c r="P6" s="125">
        <f t="shared" si="0"/>
        <v>201802</v>
      </c>
      <c r="Q6" s="125">
        <f t="shared" si="0"/>
        <v>201802</v>
      </c>
      <c r="R6" s="125">
        <f t="shared" si="0"/>
        <v>201803</v>
      </c>
      <c r="S6" s="125">
        <f t="shared" si="0"/>
        <v>201803</v>
      </c>
      <c r="T6" s="125">
        <f t="shared" si="0"/>
        <v>201804</v>
      </c>
      <c r="U6" s="125">
        <f t="shared" si="0"/>
        <v>201804</v>
      </c>
      <c r="V6" s="125">
        <f t="shared" si="0"/>
        <v>201805</v>
      </c>
      <c r="W6" s="125">
        <f t="shared" si="0"/>
        <v>201805</v>
      </c>
      <c r="X6" s="125">
        <f t="shared" si="0"/>
        <v>201806</v>
      </c>
      <c r="Y6" s="125">
        <f t="shared" si="0"/>
        <v>201806</v>
      </c>
      <c r="Z6" s="125">
        <f t="shared" si="0"/>
        <v>201807</v>
      </c>
      <c r="AA6" s="125">
        <f t="shared" si="0"/>
        <v>201807</v>
      </c>
      <c r="AB6" s="125">
        <f t="shared" si="0"/>
        <v>201808</v>
      </c>
      <c r="AC6" s="125">
        <f t="shared" si="0"/>
        <v>201808</v>
      </c>
      <c r="AD6" s="125">
        <f t="shared" si="0"/>
        <v>201809</v>
      </c>
      <c r="AE6" s="125">
        <f t="shared" si="0"/>
        <v>201809</v>
      </c>
      <c r="AF6" s="125">
        <f t="shared" si="0"/>
        <v>201810</v>
      </c>
      <c r="AG6" s="125">
        <f t="shared" si="0"/>
        <v>201810</v>
      </c>
      <c r="AH6" s="125">
        <f t="shared" si="0"/>
        <v>201811</v>
      </c>
      <c r="AI6" s="125">
        <f t="shared" si="0"/>
        <v>201811</v>
      </c>
      <c r="AJ6" s="125">
        <f t="shared" si="0"/>
        <v>201812</v>
      </c>
      <c r="AK6" s="125">
        <f t="shared" si="0"/>
        <v>201812</v>
      </c>
    </row>
    <row r="7" spans="1:119" s="27" customFormat="1" ht="14.25" hidden="1" customHeight="1" x14ac:dyDescent="0.25">
      <c r="A7" s="26"/>
      <c r="B7" s="26"/>
      <c r="D7" s="26"/>
      <c r="E7" s="26"/>
      <c r="F7" s="26"/>
      <c r="G7" s="26"/>
      <c r="H7" s="27" t="str">
        <f>"$c$9:$c$99"</f>
        <v>$c$9:$c$99</v>
      </c>
      <c r="K7" s="27" t="str">
        <f>"$d$9:$d$99"</f>
        <v>$d$9:$d$99</v>
      </c>
      <c r="N7" s="28">
        <f>Übersicht!D32</f>
        <v>43101</v>
      </c>
      <c r="O7" s="28">
        <f>Übersicht!D32</f>
        <v>43101</v>
      </c>
      <c r="P7" s="28">
        <f t="shared" ref="P7" si="1">DATE(YEAR(O7),MONTH(O7)+1,DAY(O7))</f>
        <v>43132</v>
      </c>
      <c r="Q7" s="28">
        <f>DATE(YEAR(O7),MONTH(O7)+1,DAY(O7))</f>
        <v>43132</v>
      </c>
      <c r="R7" s="28">
        <f t="shared" ref="R7" si="2">DATE(YEAR(Q7),MONTH(Q7)+1,DAY(Q7))</f>
        <v>43160</v>
      </c>
      <c r="S7" s="28">
        <f>DATE(YEAR(Q7),MONTH(Q7)+1,DAY(Q7))</f>
        <v>43160</v>
      </c>
      <c r="T7" s="28">
        <f t="shared" ref="T7" si="3">DATE(YEAR(S7),MONTH(S7)+1,DAY(S7))</f>
        <v>43191</v>
      </c>
      <c r="U7" s="28">
        <f t="shared" ref="U7" si="4">DATE(YEAR(S7),MONTH(S7)+1,DAY(S7))</f>
        <v>43191</v>
      </c>
      <c r="V7" s="28">
        <f t="shared" ref="V7" si="5">DATE(YEAR(U7),MONTH(U7)+1,DAY(U7))</f>
        <v>43221</v>
      </c>
      <c r="W7" s="28">
        <f t="shared" ref="W7" si="6">DATE(YEAR(U7),MONTH(U7)+1,DAY(U7))</f>
        <v>43221</v>
      </c>
      <c r="X7" s="28">
        <f t="shared" ref="X7" si="7">DATE(YEAR(W7),MONTH(W7)+1,DAY(W7))</f>
        <v>43252</v>
      </c>
      <c r="Y7" s="28">
        <f t="shared" ref="Y7" si="8">DATE(YEAR(W7),MONTH(W7)+1,DAY(W7))</f>
        <v>43252</v>
      </c>
      <c r="Z7" s="28">
        <f t="shared" ref="Z7" si="9">DATE(YEAR(Y7),MONTH(Y7)+1,DAY(Y7))</f>
        <v>43282</v>
      </c>
      <c r="AA7" s="28">
        <f t="shared" ref="AA7" si="10">DATE(YEAR(Y7),MONTH(Y7)+1,DAY(Y7))</f>
        <v>43282</v>
      </c>
      <c r="AB7" s="28">
        <f t="shared" ref="AB7" si="11">DATE(YEAR(AA7),MONTH(AA7)+1,DAY(AA7))</f>
        <v>43313</v>
      </c>
      <c r="AC7" s="28">
        <f t="shared" ref="AC7" si="12">DATE(YEAR(AA7),MONTH(AA7)+1,DAY(AA7))</f>
        <v>43313</v>
      </c>
      <c r="AD7" s="28">
        <f t="shared" ref="AD7" si="13">DATE(YEAR(AC7),MONTH(AC7)+1,DAY(AC7))</f>
        <v>43344</v>
      </c>
      <c r="AE7" s="28">
        <f t="shared" ref="AE7" si="14">DATE(YEAR(AC7),MONTH(AC7)+1,DAY(AC7))</f>
        <v>43344</v>
      </c>
      <c r="AF7" s="28">
        <f t="shared" ref="AF7" si="15">DATE(YEAR(AE7),MONTH(AE7)+1,DAY(AE7))</f>
        <v>43374</v>
      </c>
      <c r="AG7" s="28">
        <f t="shared" ref="AG7" si="16">DATE(YEAR(AE7),MONTH(AE7)+1,DAY(AE7))</f>
        <v>43374</v>
      </c>
      <c r="AH7" s="28">
        <f t="shared" ref="AH7" si="17">DATE(YEAR(AG7),MONTH(AG7)+1,DAY(AG7))</f>
        <v>43405</v>
      </c>
      <c r="AI7" s="28">
        <f t="shared" ref="AI7" si="18">DATE(YEAR(AG7),MONTH(AG7)+1,DAY(AG7))</f>
        <v>43405</v>
      </c>
      <c r="AJ7" s="28">
        <f t="shared" ref="AJ7" si="19">DATE(YEAR(AI7),MONTH(AI7)+1,DAY(AI7))</f>
        <v>43435</v>
      </c>
      <c r="AK7" s="28">
        <f t="shared" ref="AK7" si="20">DATE(YEAR(AI7),MONTH(AI7)+1,DAY(AI7))</f>
        <v>43435</v>
      </c>
    </row>
    <row r="8" spans="1:119" s="27" customFormat="1" ht="14.25" hidden="1" customHeight="1" x14ac:dyDescent="0.25">
      <c r="A8" s="26"/>
      <c r="B8" s="26"/>
      <c r="D8" s="26"/>
      <c r="E8" s="26"/>
      <c r="F8" s="26"/>
      <c r="G8" s="26"/>
      <c r="N8" s="28" t="str">
        <f t="shared" ref="N8:Y8" ca="1" si="21">IF(OR(AND((YEAR(N7)*100+MONTH(N7))&gt;=(YEAR(TODAY())*100+MONTH(TODAY())),N10="PLAN"),AND((YEAR(N7)*100+MONTH(N7))=(YEAR(TODAY())*100+MONTH(TODAY())-1))),"X","")</f>
        <v/>
      </c>
      <c r="O8" s="28" t="str">
        <f t="shared" ca="1" si="21"/>
        <v/>
      </c>
      <c r="P8" s="28" t="str">
        <f t="shared" ca="1" si="21"/>
        <v/>
      </c>
      <c r="Q8" s="28" t="str">
        <f t="shared" ca="1" si="21"/>
        <v/>
      </c>
      <c r="R8" s="28" t="str">
        <f t="shared" ca="1" si="21"/>
        <v/>
      </c>
      <c r="S8" s="28" t="str">
        <f t="shared" ca="1" si="21"/>
        <v/>
      </c>
      <c r="T8" s="28" t="str">
        <f t="shared" ca="1" si="21"/>
        <v/>
      </c>
      <c r="U8" s="28" t="str">
        <f t="shared" ca="1" si="21"/>
        <v/>
      </c>
      <c r="V8" s="28" t="str">
        <f t="shared" ca="1" si="21"/>
        <v/>
      </c>
      <c r="W8" s="28" t="str">
        <f t="shared" ca="1" si="21"/>
        <v/>
      </c>
      <c r="X8" s="28" t="str">
        <f t="shared" ca="1" si="21"/>
        <v>X</v>
      </c>
      <c r="Y8" s="27" t="str">
        <f t="shared" ca="1" si="21"/>
        <v>X</v>
      </c>
      <c r="Z8" s="27" t="str">
        <f ca="1">IF(OR(AND((YEAR(Z7)*100+MONTH(Z7))&gt;=(YEAR(TODAY())*100+MONTH(TODAY())),Z10="PLAN"),AND((YEAR(Z7)*100+MONTH(Z7))=(YEAR(TODAY())*100+MONTH(TODAY())-1))),"X","")</f>
        <v>X</v>
      </c>
      <c r="AA8" s="28" t="str">
        <f t="shared" ref="AA8:AK8" ca="1" si="22">IF(OR(AND((YEAR(AA7)*100+MONTH(AA7))&gt;=(YEAR(TODAY())*100+MONTH(TODAY())),AA10="PLAN"),AND((YEAR(AA7)*100+MONTH(AA7))=(YEAR(TODAY())*100+MONTH(TODAY())-1))),"X","")</f>
        <v/>
      </c>
      <c r="AB8" s="28" t="str">
        <f t="shared" ca="1" si="22"/>
        <v>X</v>
      </c>
      <c r="AC8" s="28" t="str">
        <f t="shared" ca="1" si="22"/>
        <v/>
      </c>
      <c r="AD8" s="28" t="str">
        <f t="shared" ca="1" si="22"/>
        <v>X</v>
      </c>
      <c r="AE8" s="28" t="str">
        <f t="shared" ca="1" si="22"/>
        <v/>
      </c>
      <c r="AF8" s="28" t="str">
        <f t="shared" ca="1" si="22"/>
        <v>X</v>
      </c>
      <c r="AG8" s="28" t="str">
        <f t="shared" ca="1" si="22"/>
        <v/>
      </c>
      <c r="AH8" s="28" t="str">
        <f t="shared" ca="1" si="22"/>
        <v>X</v>
      </c>
      <c r="AI8" s="28" t="str">
        <f t="shared" ca="1" si="22"/>
        <v/>
      </c>
      <c r="AJ8" s="28" t="str">
        <f t="shared" ca="1" si="22"/>
        <v>X</v>
      </c>
      <c r="AK8" s="28" t="str">
        <f t="shared" ca="1" si="22"/>
        <v/>
      </c>
    </row>
    <row r="9" spans="1:119" s="27" customFormat="1" ht="14.25" customHeight="1" x14ac:dyDescent="0.25">
      <c r="A9" s="26"/>
      <c r="B9" s="26"/>
      <c r="D9" s="26"/>
      <c r="E9" s="26"/>
      <c r="F9" s="26"/>
      <c r="G9" s="26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</row>
    <row r="10" spans="1:119" s="13" customFormat="1" x14ac:dyDescent="0.25">
      <c r="C10" s="43" t="s">
        <v>13</v>
      </c>
      <c r="D10" s="44">
        <v>43101</v>
      </c>
      <c r="E10" s="49"/>
      <c r="F10" s="49"/>
      <c r="G10" s="49"/>
      <c r="N10" s="53" t="s">
        <v>6</v>
      </c>
      <c r="O10" s="88" t="s">
        <v>7</v>
      </c>
      <c r="P10" s="53" t="s">
        <v>6</v>
      </c>
      <c r="Q10" s="60" t="s">
        <v>7</v>
      </c>
      <c r="R10" s="91" t="s">
        <v>6</v>
      </c>
      <c r="S10" s="88" t="s">
        <v>7</v>
      </c>
      <c r="T10" s="53" t="s">
        <v>6</v>
      </c>
      <c r="U10" s="60" t="s">
        <v>7</v>
      </c>
      <c r="V10" s="91" t="s">
        <v>6</v>
      </c>
      <c r="W10" s="88" t="s">
        <v>7</v>
      </c>
      <c r="X10" s="53" t="s">
        <v>6</v>
      </c>
      <c r="Y10" s="60" t="s">
        <v>7</v>
      </c>
      <c r="Z10" s="91" t="s">
        <v>6</v>
      </c>
      <c r="AA10" s="88" t="s">
        <v>7</v>
      </c>
      <c r="AB10" s="53" t="s">
        <v>6</v>
      </c>
      <c r="AC10" s="60" t="s">
        <v>7</v>
      </c>
      <c r="AD10" s="91" t="s">
        <v>6</v>
      </c>
      <c r="AE10" s="88" t="s">
        <v>7</v>
      </c>
      <c r="AF10" s="53" t="s">
        <v>6</v>
      </c>
      <c r="AG10" s="60" t="s">
        <v>7</v>
      </c>
      <c r="AH10" s="91" t="s">
        <v>6</v>
      </c>
      <c r="AI10" s="88" t="s">
        <v>7</v>
      </c>
      <c r="AJ10" s="53" t="s">
        <v>6</v>
      </c>
      <c r="AK10" s="60" t="s">
        <v>7</v>
      </c>
    </row>
    <row r="11" spans="1:119" s="81" customFormat="1" ht="30" x14ac:dyDescent="0.25">
      <c r="A11" s="73"/>
      <c r="B11" s="74" t="s">
        <v>14</v>
      </c>
      <c r="C11" s="75" t="s">
        <v>15</v>
      </c>
      <c r="D11" s="77" t="s">
        <v>46</v>
      </c>
      <c r="E11" s="77" t="s">
        <v>43</v>
      </c>
      <c r="F11" s="77" t="s">
        <v>44</v>
      </c>
      <c r="G11" s="77" t="s">
        <v>47</v>
      </c>
      <c r="H11" s="77" t="s">
        <v>45</v>
      </c>
      <c r="I11" s="77" t="s">
        <v>6</v>
      </c>
      <c r="J11" s="123" t="s">
        <v>63</v>
      </c>
      <c r="K11" s="76" t="s">
        <v>7</v>
      </c>
      <c r="L11" s="78" t="s">
        <v>8</v>
      </c>
      <c r="M11" s="79"/>
      <c r="N11" s="83" t="str">
        <f t="shared" ref="N11:AK11" si="23">TEXT(N7,"JJJJMM")</f>
        <v>201801</v>
      </c>
      <c r="O11" s="89" t="str">
        <f t="shared" si="23"/>
        <v>201801</v>
      </c>
      <c r="P11" s="83" t="str">
        <f t="shared" si="23"/>
        <v>201802</v>
      </c>
      <c r="Q11" s="84" t="str">
        <f t="shared" si="23"/>
        <v>201802</v>
      </c>
      <c r="R11" s="92" t="str">
        <f t="shared" si="23"/>
        <v>201803</v>
      </c>
      <c r="S11" s="89" t="str">
        <f t="shared" si="23"/>
        <v>201803</v>
      </c>
      <c r="T11" s="83" t="str">
        <f t="shared" si="23"/>
        <v>201804</v>
      </c>
      <c r="U11" s="84" t="str">
        <f t="shared" si="23"/>
        <v>201804</v>
      </c>
      <c r="V11" s="92" t="str">
        <f t="shared" si="23"/>
        <v>201805</v>
      </c>
      <c r="W11" s="89" t="str">
        <f t="shared" si="23"/>
        <v>201805</v>
      </c>
      <c r="X11" s="83" t="str">
        <f t="shared" si="23"/>
        <v>201806</v>
      </c>
      <c r="Y11" s="84" t="str">
        <f t="shared" si="23"/>
        <v>201806</v>
      </c>
      <c r="Z11" s="92" t="str">
        <f t="shared" si="23"/>
        <v>201807</v>
      </c>
      <c r="AA11" s="89" t="str">
        <f t="shared" si="23"/>
        <v>201807</v>
      </c>
      <c r="AB11" s="83" t="str">
        <f t="shared" si="23"/>
        <v>201808</v>
      </c>
      <c r="AC11" s="84" t="str">
        <f t="shared" si="23"/>
        <v>201808</v>
      </c>
      <c r="AD11" s="92" t="str">
        <f t="shared" si="23"/>
        <v>201809</v>
      </c>
      <c r="AE11" s="89" t="str">
        <f t="shared" si="23"/>
        <v>201809</v>
      </c>
      <c r="AF11" s="83" t="str">
        <f t="shared" si="23"/>
        <v>201810</v>
      </c>
      <c r="AG11" s="84" t="str">
        <f t="shared" si="23"/>
        <v>201810</v>
      </c>
      <c r="AH11" s="92" t="str">
        <f t="shared" si="23"/>
        <v>201811</v>
      </c>
      <c r="AI11" s="89" t="str">
        <f t="shared" si="23"/>
        <v>201811</v>
      </c>
      <c r="AJ11" s="83" t="str">
        <f t="shared" si="23"/>
        <v>201812</v>
      </c>
      <c r="AK11" s="84" t="str">
        <f t="shared" si="23"/>
        <v>201812</v>
      </c>
      <c r="AL11" s="80"/>
      <c r="AM11" s="80"/>
    </row>
    <row r="12" spans="1:119" x14ac:dyDescent="0.25">
      <c r="A12" s="29"/>
      <c r="B12" s="97" t="s">
        <v>60</v>
      </c>
      <c r="C12" s="98" t="s">
        <v>48</v>
      </c>
      <c r="D12" s="99">
        <v>20</v>
      </c>
      <c r="E12" s="99"/>
      <c r="F12" s="99"/>
      <c r="G12" s="99"/>
      <c r="H12" s="54">
        <f>IF(C12="","",SUM(D12:G12))</f>
        <v>20</v>
      </c>
      <c r="I12" s="54">
        <f>IF(C12="","",SUMIF($N$10:$AK$10,$I$11,N12:AK12))</f>
        <v>28</v>
      </c>
      <c r="J12" s="54">
        <f ca="1">IF(C12="","",SUMIFS(N12:AK12,$N$10:$AK$10,"PLAN",$N$6:$AK$6,"&gt;"&amp;(YEAR(TODAY())*100+MONTH(TODAY())-1)))</f>
        <v>12</v>
      </c>
      <c r="K12" s="54">
        <f ca="1">IF(C12="","",SUMIF($O$10:$AA$10,$K$11,O12:AA12))</f>
        <v>20</v>
      </c>
      <c r="L12" s="55">
        <f ca="1">IF(C12="","",J12+K12)</f>
        <v>32</v>
      </c>
      <c r="M12" s="30"/>
      <c r="N12" s="94">
        <v>5</v>
      </c>
      <c r="O12" s="87">
        <f ca="1">IFERROR(IF(C12&lt;&gt;"",IF($O$10="IST",SUMIF(INDIRECT("'"&amp;$O$11&amp;"'!"&amp;$H$7),C12,INDIRECT("'"&amp;$O$11&amp;"'!"&amp;$K$7))),""),"")</f>
        <v>20</v>
      </c>
      <c r="P12" s="94">
        <v>2</v>
      </c>
      <c r="Q12" s="57" t="str">
        <f ca="1">IFERROR(IF(C12&lt;&gt;"",IF($Q$10="IST",SUMIF(INDIRECT("'"&amp;$Q$11&amp;"'!"&amp;$H$7),C12,INDIRECT("'"&amp;$Q$11&amp;"'!"&amp;$K$7))),""),"")</f>
        <v/>
      </c>
      <c r="R12" s="95">
        <v>3</v>
      </c>
      <c r="S12" s="87" t="str">
        <f ca="1">IFERROR(IF(C12&lt;&gt;"",IF($S$10="IST",SUMIF(INDIRECT("'"&amp;$S$11&amp;"'!"&amp;$H$7),C12,INDIRECT("'"&amp;$S$11&amp;"'!"&amp;$K$7))),""),"")</f>
        <v/>
      </c>
      <c r="T12" s="94">
        <v>4</v>
      </c>
      <c r="U12" s="57" t="str">
        <f ca="1">IFERROR(IF(C12&lt;&gt;"",IF($U$10="IST",SUMIF(INDIRECT("'"&amp;$U$11&amp;"'!"&amp;$H$7),C12,INDIRECT("'"&amp;$U$11&amp;"'!"&amp;$K$7))),""),"")</f>
        <v/>
      </c>
      <c r="V12" s="95"/>
      <c r="W12" s="87" t="str">
        <f ca="1">IFERROR(IF(C12&lt;&gt;"",IF($W$10="IST",SUMIF(INDIRECT("'"&amp;$W$11&amp;"'!"&amp;$H$7),C12,INDIRECT("'"&amp;$W$11&amp;"'!"&amp;$K$7))),""),"")</f>
        <v/>
      </c>
      <c r="X12" s="96">
        <v>2</v>
      </c>
      <c r="Y12" s="57" t="str">
        <f ca="1">IFERROR(IF(C12&lt;&gt;"",IF($Y$10="IST",SUMIF(INDIRECT("'"&amp;$Y$11&amp;"'!"&amp;$H$7),C12,INDIRECT("'"&amp;$Y$11&amp;"'!"&amp;$K$7))),""),"")</f>
        <v/>
      </c>
      <c r="Z12" s="95">
        <v>3</v>
      </c>
      <c r="AA12" s="87" t="str">
        <f ca="1">IFERROR(IF(C12&lt;&gt;"",IF($AA$10="IST",SUMIF(INDIRECT("'"&amp;$AA$11&amp;"'!"&amp;$H$7),C12,INDIRECT("'"&amp;$AA$11&amp;"'!"&amp;$K$7))),""),"")</f>
        <v/>
      </c>
      <c r="AB12" s="94">
        <v>9</v>
      </c>
      <c r="AC12" s="57" t="str">
        <f ca="1">IFERROR(IF(C12&lt;&gt;"",IF($AC$10="IST",SUMIF(INDIRECT("'"&amp;$AC$11&amp;"'!"&amp;$H$7),C12,INDIRECT("'"&amp;$AC$11&amp;"'!"&amp;$K$7))),""),"")</f>
        <v/>
      </c>
      <c r="AD12" s="95"/>
      <c r="AE12" s="87" t="str">
        <f ca="1">IFERROR(IF(C12&lt;&gt;"",IF($AE$10="IST",SUMIF(INDIRECT("'"&amp;$AE$11&amp;"'!"&amp;$H$7),C12,INDIRECT("'"&amp;$AE$11&amp;"'!"&amp;$K$7))),""),"")</f>
        <v/>
      </c>
      <c r="AF12" s="94"/>
      <c r="AG12" s="57" t="str">
        <f ca="1">IFERROR(IF(C12&lt;&gt;"",IF($AG$10="IST",SUMIF(INDIRECT("'"&amp;$AG$11&amp;"'!"&amp;$H$7),C12,INDIRECT("'"&amp;$AG$11&amp;"'!"&amp;$K$7))),""),"")</f>
        <v/>
      </c>
      <c r="AH12" s="95"/>
      <c r="AI12" s="87" t="str">
        <f ca="1">IFERROR(IF(C12&lt;&gt;"",IF($AI$10="IST",SUMIF(INDIRECT("'"&amp;$AI$11&amp;"'!"&amp;$H$7),C12,INDIRECT("'"&amp;$AI$11&amp;"'!"&amp;$K$7))),""),"")</f>
        <v/>
      </c>
      <c r="AJ12" s="94"/>
      <c r="AK12" s="57" t="str">
        <f ca="1">IFERROR(IF(C12&lt;&gt;"",IF($AK$10="IST",SUMIF(INDIRECT("'"&amp;$AK$11&amp;"'!"&amp;$H$7),C12,INDIRECT("'"&amp;$AK$11&amp;"'!"&amp;$K$7))),""),"")</f>
        <v/>
      </c>
    </row>
    <row r="13" spans="1:119" x14ac:dyDescent="0.25">
      <c r="A13" s="29"/>
      <c r="B13" s="100"/>
      <c r="C13" s="101" t="s">
        <v>49</v>
      </c>
      <c r="D13" s="102"/>
      <c r="E13" s="102"/>
      <c r="F13" s="102"/>
      <c r="G13" s="102"/>
      <c r="H13" s="56">
        <f t="shared" ref="H13:H47" si="24">IF(C13="","",SUM(D13:G13))</f>
        <v>0</v>
      </c>
      <c r="I13" s="56">
        <f>IF(C13="","",SUMIF($N$10:$AK$10,$I$11,N13:AK13))</f>
        <v>0</v>
      </c>
      <c r="J13" s="56">
        <f t="shared" ref="J13:J47" ca="1" si="25">IF(C13="","",SUMIFS(N13:AK13,$N$10:$AK$10,"PLAN",$N$6:$AK$6,"&gt;"&amp;(YEAR(TODAY())*100+MONTH(TODAY())-1)))</f>
        <v>0</v>
      </c>
      <c r="K13" s="56">
        <f ca="1">IF(C13="","",SUMIF($O$10:$AA$10,$K$11,O13:AA13))</f>
        <v>10</v>
      </c>
      <c r="L13" s="57">
        <f ca="1">IF(C13="","",J13+K13)</f>
        <v>10</v>
      </c>
      <c r="M13" s="30"/>
      <c r="N13" s="94"/>
      <c r="O13" s="87">
        <f ca="1">IFERROR(IF(C13&lt;&gt;"",IF($O$10="IST",SUMIF(INDIRECT("'"&amp;$O$11&amp;"'!"&amp;$H$7),C13,INDIRECT("'"&amp;$O$11&amp;"'!"&amp;$K$7))),""),"")</f>
        <v>10</v>
      </c>
      <c r="P13" s="94"/>
      <c r="Q13" s="57" t="str">
        <f ca="1">IFERROR(IF(C13&lt;&gt;"",IF($Q$10="IST",SUMIF(INDIRECT("'"&amp;$Q$11&amp;"'!"&amp;$H$7),C13,INDIRECT("'"&amp;$Q$11&amp;"'!"&amp;$K$7))),""),"")</f>
        <v/>
      </c>
      <c r="R13" s="95"/>
      <c r="S13" s="87" t="str">
        <f ca="1">IFERROR(IF(C13&lt;&gt;"",IF($S$10="IST",SUMIF(INDIRECT("'"&amp;$S$11&amp;"'!"&amp;$H$7),C13,INDIRECT("'"&amp;$S$11&amp;"'!"&amp;$K$7))),""),"")</f>
        <v/>
      </c>
      <c r="T13" s="94"/>
      <c r="U13" s="57" t="str">
        <f ca="1">IFERROR(IF(C13&lt;&gt;"",IF($U$10="IST",SUMIF(INDIRECT("'"&amp;$U$11&amp;"'!"&amp;$H$7),C13,INDIRECT("'"&amp;$U$11&amp;"'!"&amp;$K$7))),""),"")</f>
        <v/>
      </c>
      <c r="V13" s="95"/>
      <c r="W13" s="87" t="str">
        <f ca="1">IFERROR(IF(C13&lt;&gt;"",IF($W$10="IST",SUMIF(INDIRECT("'"&amp;$W$11&amp;"'!"&amp;$H$7),C13,INDIRECT("'"&amp;$W$11&amp;"'!"&amp;$K$7))),""),"")</f>
        <v/>
      </c>
      <c r="X13" s="96"/>
      <c r="Y13" s="57" t="str">
        <f ca="1">IFERROR(IF(C13&lt;&gt;"",IF($Y$10="IST",SUMIF(INDIRECT("'"&amp;$Y$11&amp;"'!"&amp;$H$7),C13,INDIRECT("'"&amp;$Y$11&amp;"'!"&amp;$K$7))),""),"")</f>
        <v/>
      </c>
      <c r="Z13" s="95"/>
      <c r="AA13" s="87" t="str">
        <f ca="1">IFERROR(IF(C13&lt;&gt;"",IF($AA$10="IST",SUMIF(INDIRECT("'"&amp;$AA$11&amp;"'!"&amp;$H$7),C13,INDIRECT("'"&amp;$AA$11&amp;"'!"&amp;$K$7))),""),"")</f>
        <v/>
      </c>
      <c r="AB13" s="94"/>
      <c r="AC13" s="57" t="str">
        <f ca="1">IFERROR(IF(C13&lt;&gt;"",IF($AC$10="IST",SUMIF(INDIRECT("'"&amp;$AC$11&amp;"'!"&amp;$H$7),C13,INDIRECT("'"&amp;$AC$11&amp;"'!"&amp;$K$7))),""),"")</f>
        <v/>
      </c>
      <c r="AD13" s="95"/>
      <c r="AE13" s="87" t="str">
        <f ca="1">IFERROR(IF(C13&lt;&gt;"",IF($AE$10="IST",SUMIF(INDIRECT("'"&amp;$AE$11&amp;"'!"&amp;$H$7),C13,INDIRECT("'"&amp;$AE$11&amp;"'!"&amp;$K$7))),""),"")</f>
        <v/>
      </c>
      <c r="AF13" s="94"/>
      <c r="AG13" s="57" t="str">
        <f ca="1">IFERROR(IF(C13&lt;&gt;"",IF($AG$10="IST",SUMIF(INDIRECT("'"&amp;$AG$11&amp;"'!"&amp;$H$7),C13,INDIRECT("'"&amp;$AG$11&amp;"'!"&amp;$K$7))),""),"")</f>
        <v/>
      </c>
      <c r="AH13" s="95"/>
      <c r="AI13" s="87" t="str">
        <f ca="1">IFERROR(IF(C13&lt;&gt;"",IF($AI$10="IST",SUMIF(INDIRECT("'"&amp;$AI$11&amp;"'!"&amp;$H$7),C13,INDIRECT("'"&amp;$AI$11&amp;"'!"&amp;$K$7))),""),"")</f>
        <v/>
      </c>
      <c r="AJ13" s="94"/>
      <c r="AK13" s="57" t="str">
        <f ca="1">IFERROR(IF(C13&lt;&gt;"",IF($AK$10="IST",SUMIF(INDIRECT("'"&amp;$AK$11&amp;"'!"&amp;$H$7),C13,INDIRECT("'"&amp;$AK$11&amp;"'!"&amp;$K$7))),""),"")</f>
        <v/>
      </c>
    </row>
    <row r="14" spans="1:119" x14ac:dyDescent="0.25">
      <c r="A14" s="29"/>
      <c r="B14" s="100"/>
      <c r="C14" s="101"/>
      <c r="D14" s="102"/>
      <c r="E14" s="102"/>
      <c r="F14" s="102"/>
      <c r="G14" s="102"/>
      <c r="H14" s="56" t="str">
        <f t="shared" si="24"/>
        <v/>
      </c>
      <c r="I14" s="56" t="str">
        <f>IF(C14="","",SUMIF($N$10:$AK$10,$I$11,N14:AK14))</f>
        <v/>
      </c>
      <c r="J14" s="56" t="str">
        <f t="shared" ca="1" si="25"/>
        <v/>
      </c>
      <c r="K14" s="56" t="str">
        <f>IF(C14="","",SUMIF($O$10:$AA$10,$K$11,O14:AA14))</f>
        <v/>
      </c>
      <c r="L14" s="57" t="str">
        <f>IF(C14="","",J14+K14)</f>
        <v/>
      </c>
      <c r="M14" s="30"/>
      <c r="N14" s="94"/>
      <c r="O14" s="87" t="str">
        <f ca="1">IFERROR(IF(C14&lt;&gt;"",IF($O$10="IST",SUMIF(INDIRECT("'"&amp;$O$11&amp;"'!"&amp;$H$7),C14,INDIRECT("'"&amp;$O$11&amp;"'!"&amp;$K$7))),""),"")</f>
        <v/>
      </c>
      <c r="P14" s="94"/>
      <c r="Q14" s="57" t="str">
        <f ca="1">IFERROR(IF(C14&lt;&gt;"",IF($Q$10="IST",SUMIF(INDIRECT("'"&amp;$Q$11&amp;"'!"&amp;$H$7),C14,INDIRECT("'"&amp;$Q$11&amp;"'!"&amp;$K$7))),""),"")</f>
        <v/>
      </c>
      <c r="R14" s="95"/>
      <c r="S14" s="87" t="str">
        <f ca="1">IFERROR(IF(C14&lt;&gt;"",IF($S$10="IST",SUMIF(INDIRECT("'"&amp;$S$11&amp;"'!"&amp;$H$7),C14,INDIRECT("'"&amp;$S$11&amp;"'!"&amp;$K$7))),""),"")</f>
        <v/>
      </c>
      <c r="T14" s="94"/>
      <c r="U14" s="57" t="str">
        <f ca="1">IFERROR(IF(C14&lt;&gt;"",IF($U$10="IST",SUMIF(INDIRECT("'"&amp;$U$11&amp;"'!"&amp;$H$7),C14,INDIRECT("'"&amp;$U$11&amp;"'!"&amp;$K$7))),""),"")</f>
        <v/>
      </c>
      <c r="V14" s="95"/>
      <c r="W14" s="87" t="str">
        <f ca="1">IFERROR(IF(C14&lt;&gt;"",IF($W$10="IST",SUMIF(INDIRECT("'"&amp;$W$11&amp;"'!"&amp;$H$7),C14,INDIRECT("'"&amp;$W$11&amp;"'!"&amp;$K$7))),""),"")</f>
        <v/>
      </c>
      <c r="X14" s="96"/>
      <c r="Y14" s="57" t="str">
        <f ca="1">IFERROR(IF(C14&lt;&gt;"",IF($Y$10="IST",SUMIF(INDIRECT("'"&amp;$Y$11&amp;"'!"&amp;$H$7),C14,INDIRECT("'"&amp;$Y$11&amp;"'!"&amp;$K$7))),""),"")</f>
        <v/>
      </c>
      <c r="Z14" s="95"/>
      <c r="AA14" s="87" t="str">
        <f ca="1">IFERROR(IF(C14&lt;&gt;"",IF($AA$10="IST",SUMIF(INDIRECT("'"&amp;$AA$11&amp;"'!"&amp;$H$7),C14,INDIRECT("'"&amp;$AA$11&amp;"'!"&amp;$K$7))),""),"")</f>
        <v/>
      </c>
      <c r="AB14" s="94"/>
      <c r="AC14" s="57" t="str">
        <f ca="1">IFERROR(IF(C14&lt;&gt;"",IF($AC$10="IST",SUMIF(INDIRECT("'"&amp;$AC$11&amp;"'!"&amp;$H$7),C14,INDIRECT("'"&amp;$AC$11&amp;"'!"&amp;$K$7))),""),"")</f>
        <v/>
      </c>
      <c r="AD14" s="95"/>
      <c r="AE14" s="87" t="str">
        <f ca="1">IFERROR(IF(C14&lt;&gt;"",IF($AE$10="IST",SUMIF(INDIRECT("'"&amp;$AE$11&amp;"'!"&amp;$H$7),C14,INDIRECT("'"&amp;$AE$11&amp;"'!"&amp;$K$7))),""),"")</f>
        <v/>
      </c>
      <c r="AF14" s="94"/>
      <c r="AG14" s="57" t="str">
        <f ca="1">IFERROR(IF(C14&lt;&gt;"",IF($AG$10="IST",SUMIF(INDIRECT("'"&amp;$AG$11&amp;"'!"&amp;$H$7),C14,INDIRECT("'"&amp;$AG$11&amp;"'!"&amp;$K$7))),""),"")</f>
        <v/>
      </c>
      <c r="AH14" s="95"/>
      <c r="AI14" s="87" t="str">
        <f ca="1">IFERROR(IF(C14&lt;&gt;"",IF($AI$10="IST",SUMIF(INDIRECT("'"&amp;$AI$11&amp;"'!"&amp;$H$7),C14,INDIRECT("'"&amp;$AI$11&amp;"'!"&amp;$K$7))),""),"")</f>
        <v/>
      </c>
      <c r="AJ14" s="94"/>
      <c r="AK14" s="57" t="str">
        <f ca="1">IFERROR(IF(C14&lt;&gt;"",IF($AK$10="IST",SUMIF(INDIRECT("'"&amp;$AK$11&amp;"'!"&amp;$H$7),C14,INDIRECT("'"&amp;$AK$11&amp;"'!"&amp;$K$7))),""),"")</f>
        <v/>
      </c>
    </row>
    <row r="15" spans="1:119" x14ac:dyDescent="0.25">
      <c r="A15" s="29"/>
      <c r="B15" s="100" t="s">
        <v>61</v>
      </c>
      <c r="C15" s="101" t="s">
        <v>62</v>
      </c>
      <c r="D15" s="102">
        <v>10</v>
      </c>
      <c r="E15" s="102"/>
      <c r="F15" s="102"/>
      <c r="G15" s="102"/>
      <c r="H15" s="56">
        <f t="shared" si="24"/>
        <v>10</v>
      </c>
      <c r="I15" s="56">
        <f>IF(C15="","",SUMIF($N$10:$AK$10,$I$11,N15:AK15))</f>
        <v>7</v>
      </c>
      <c r="J15" s="56">
        <f t="shared" ca="1" si="25"/>
        <v>0</v>
      </c>
      <c r="K15" s="56">
        <f ca="1">IF(C15="","",SUMIF($O$10:$AA$10,$K$11,O15:AA15))</f>
        <v>2</v>
      </c>
      <c r="L15" s="57">
        <f ca="1">IF(C15="","",J15+K15)</f>
        <v>2</v>
      </c>
      <c r="M15" s="30"/>
      <c r="N15" s="94">
        <v>4</v>
      </c>
      <c r="O15" s="87">
        <f ca="1">IFERROR(IF(C15&lt;&gt;"",IF($O$10="IST",SUMIF(INDIRECT("'"&amp;$O$11&amp;"'!"&amp;$H$7),C15,INDIRECT("'"&amp;$O$11&amp;"'!"&amp;$K$7))),""),"")</f>
        <v>2</v>
      </c>
      <c r="P15" s="94">
        <v>3</v>
      </c>
      <c r="Q15" s="57" t="str">
        <f ca="1">IFERROR(IF(C15&lt;&gt;"",IF($Q$10="IST",SUMIF(INDIRECT("'"&amp;$Q$11&amp;"'!"&amp;$H$7),C15,INDIRECT("'"&amp;$Q$11&amp;"'!"&amp;$K$7))),""),"")</f>
        <v/>
      </c>
      <c r="R15" s="95"/>
      <c r="S15" s="87" t="str">
        <f ca="1">IFERROR(IF(C15&lt;&gt;"",IF($S$10="IST",SUMIF(INDIRECT("'"&amp;$S$11&amp;"'!"&amp;$H$7),C15,INDIRECT("'"&amp;$S$11&amp;"'!"&amp;$K$7))),""),"")</f>
        <v/>
      </c>
      <c r="T15" s="94"/>
      <c r="U15" s="57" t="str">
        <f ca="1">IFERROR(IF(C15&lt;&gt;"",IF($U$10="IST",SUMIF(INDIRECT("'"&amp;$U$11&amp;"'!"&amp;$H$7),C15,INDIRECT("'"&amp;$U$11&amp;"'!"&amp;$K$7))),""),"")</f>
        <v/>
      </c>
      <c r="V15" s="95"/>
      <c r="W15" s="87" t="str">
        <f ca="1">IFERROR(IF(C15&lt;&gt;"",IF($W$10="IST",SUMIF(INDIRECT("'"&amp;$W$11&amp;"'!"&amp;$H$7),C15,INDIRECT("'"&amp;$W$11&amp;"'!"&amp;$K$7))),""),"")</f>
        <v/>
      </c>
      <c r="X15" s="94"/>
      <c r="Y15" s="57" t="str">
        <f ca="1">IFERROR(IF(C15&lt;&gt;"",IF($Y$10="IST",SUMIF(INDIRECT("'"&amp;$Y$11&amp;"'!"&amp;$H$7),C15,INDIRECT("'"&amp;$Y$11&amp;"'!"&amp;$K$7))),""),"")</f>
        <v/>
      </c>
      <c r="Z15" s="95"/>
      <c r="AA15" s="87" t="str">
        <f ca="1">IFERROR(IF(C15&lt;&gt;"",IF($AA$10="IST",SUMIF(INDIRECT("'"&amp;$AA$11&amp;"'!"&amp;$H$7),C15,INDIRECT("'"&amp;$AA$11&amp;"'!"&amp;$K$7))),""),"")</f>
        <v/>
      </c>
      <c r="AB15" s="94"/>
      <c r="AC15" s="57" t="str">
        <f ca="1">IFERROR(IF(C15&lt;&gt;"",IF($AC$10="IST",SUMIF(INDIRECT("'"&amp;$AC$11&amp;"'!"&amp;$H$7),C15,INDIRECT("'"&amp;$AC$11&amp;"'!"&amp;$K$7))),""),"")</f>
        <v/>
      </c>
      <c r="AD15" s="95"/>
      <c r="AE15" s="87" t="str">
        <f ca="1">IFERROR(IF(C15&lt;&gt;"",IF($AE$10="IST",SUMIF(INDIRECT("'"&amp;$AE$11&amp;"'!"&amp;$H$7),C15,INDIRECT("'"&amp;$AE$11&amp;"'!"&amp;$K$7))),""),"")</f>
        <v/>
      </c>
      <c r="AF15" s="94"/>
      <c r="AG15" s="57" t="str">
        <f ca="1">IFERROR(IF(C15&lt;&gt;"",IF($AG$10="IST",SUMIF(INDIRECT("'"&amp;$AG$11&amp;"'!"&amp;$H$7),C15,INDIRECT("'"&amp;$AG$11&amp;"'!"&amp;$K$7))),""),"")</f>
        <v/>
      </c>
      <c r="AH15" s="95"/>
      <c r="AI15" s="87" t="str">
        <f ca="1">IFERROR(IF(C15&lt;&gt;"",IF($AI$10="IST",SUMIF(INDIRECT("'"&amp;$AI$11&amp;"'!"&amp;$H$7),C15,INDIRECT("'"&amp;$AI$11&amp;"'!"&amp;$K$7))),""),"")</f>
        <v/>
      </c>
      <c r="AJ15" s="94"/>
      <c r="AK15" s="57" t="str">
        <f ca="1">IFERROR(IF(C15&lt;&gt;"",IF($AK$10="IST",SUMIF(INDIRECT("'"&amp;$AK$11&amp;"'!"&amp;$H$7),C15,INDIRECT("'"&amp;$AK$11&amp;"'!"&amp;$K$7))),""),"")</f>
        <v/>
      </c>
    </row>
    <row r="16" spans="1:119" x14ac:dyDescent="0.25">
      <c r="A16" s="29"/>
      <c r="B16" s="100"/>
      <c r="C16" s="101"/>
      <c r="D16" s="102"/>
      <c r="E16" s="102"/>
      <c r="F16" s="102"/>
      <c r="G16" s="102"/>
      <c r="H16" s="56" t="str">
        <f t="shared" si="24"/>
        <v/>
      </c>
      <c r="I16" s="56" t="str">
        <f>IF(C16="","",SUMIF($N$10:$AK$10,$I$11,N16:AK16))</f>
        <v/>
      </c>
      <c r="J16" s="56" t="str">
        <f t="shared" ca="1" si="25"/>
        <v/>
      </c>
      <c r="K16" s="56" t="str">
        <f>IF(C16="","",SUMIF($O$10:$AA$10,$K$11,O16:AA16))</f>
        <v/>
      </c>
      <c r="L16" s="57" t="str">
        <f>IF(C16="","",J16+K16)</f>
        <v/>
      </c>
      <c r="M16" s="30"/>
      <c r="N16" s="94"/>
      <c r="O16" s="87" t="str">
        <f ca="1">IFERROR(IF(C16&lt;&gt;"",IF($O$10="IST",SUMIF(INDIRECT("'"&amp;$O$11&amp;"'!"&amp;$H$7),C16,INDIRECT("'"&amp;$O$11&amp;"'!"&amp;$K$7))),""),"")</f>
        <v/>
      </c>
      <c r="P16" s="94"/>
      <c r="Q16" s="57" t="str">
        <f ca="1">IFERROR(IF(C16&lt;&gt;"",IF($Q$10="IST",SUMIF(INDIRECT("'"&amp;$Q$11&amp;"'!"&amp;$H$7),C16,INDIRECT("'"&amp;$Q$11&amp;"'!"&amp;$K$7))),""),"")</f>
        <v/>
      </c>
      <c r="R16" s="95"/>
      <c r="S16" s="87" t="str">
        <f ca="1">IFERROR(IF(C16&lt;&gt;"",IF($S$10="IST",SUMIF(INDIRECT("'"&amp;$S$11&amp;"'!"&amp;$H$7),C16,INDIRECT("'"&amp;$S$11&amp;"'!"&amp;$K$7))),""),"")</f>
        <v/>
      </c>
      <c r="T16" s="94"/>
      <c r="U16" s="57" t="str">
        <f ca="1">IFERROR(IF(C16&lt;&gt;"",IF($U$10="IST",SUMIF(INDIRECT("'"&amp;$U$11&amp;"'!"&amp;$H$7),C16,INDIRECT("'"&amp;$U$11&amp;"'!"&amp;$K$7))),""),"")</f>
        <v/>
      </c>
      <c r="V16" s="95"/>
      <c r="W16" s="87" t="str">
        <f ca="1">IFERROR(IF(C16&lt;&gt;"",IF($W$10="IST",SUMIF(INDIRECT("'"&amp;$W$11&amp;"'!"&amp;$H$7),C16,INDIRECT("'"&amp;$W$11&amp;"'!"&amp;$K$7))),""),"")</f>
        <v/>
      </c>
      <c r="X16" s="94"/>
      <c r="Y16" s="57" t="str">
        <f ca="1">IFERROR(IF(C16&lt;&gt;"",IF($Y$10="IST",SUMIF(INDIRECT("'"&amp;$Y$11&amp;"'!"&amp;$H$7),C16,INDIRECT("'"&amp;$Y$11&amp;"'!"&amp;$K$7))),""),"")</f>
        <v/>
      </c>
      <c r="Z16" s="95"/>
      <c r="AA16" s="87" t="str">
        <f ca="1">IFERROR(IF(C16&lt;&gt;"",IF($AA$10="IST",SUMIF(INDIRECT("'"&amp;$AA$11&amp;"'!"&amp;$H$7),C16,INDIRECT("'"&amp;$AA$11&amp;"'!"&amp;$K$7))),""),"")</f>
        <v/>
      </c>
      <c r="AB16" s="94"/>
      <c r="AC16" s="57" t="str">
        <f ca="1">IFERROR(IF(C16&lt;&gt;"",IF($AC$10="IST",SUMIF(INDIRECT("'"&amp;$AC$11&amp;"'!"&amp;$H$7),C16,INDIRECT("'"&amp;$AC$11&amp;"'!"&amp;$K$7))),""),"")</f>
        <v/>
      </c>
      <c r="AD16" s="95"/>
      <c r="AE16" s="87" t="str">
        <f ca="1">IFERROR(IF(C16&lt;&gt;"",IF($AE$10="IST",SUMIF(INDIRECT("'"&amp;$AE$11&amp;"'!"&amp;$H$7),C16,INDIRECT("'"&amp;$AE$11&amp;"'!"&amp;$K$7))),""),"")</f>
        <v/>
      </c>
      <c r="AF16" s="94"/>
      <c r="AG16" s="57" t="str">
        <f ca="1">IFERROR(IF(C16&lt;&gt;"",IF($AG$10="IST",SUMIF(INDIRECT("'"&amp;$AG$11&amp;"'!"&amp;$H$7),C16,INDIRECT("'"&amp;$AG$11&amp;"'!"&amp;$K$7))),""),"")</f>
        <v/>
      </c>
      <c r="AH16" s="95"/>
      <c r="AI16" s="87" t="str">
        <f ca="1">IFERROR(IF(C16&lt;&gt;"",IF($AI$10="IST",SUMIF(INDIRECT("'"&amp;$AI$11&amp;"'!"&amp;$H$7),C16,INDIRECT("'"&amp;$AI$11&amp;"'!"&amp;$K$7))),""),"")</f>
        <v/>
      </c>
      <c r="AJ16" s="94"/>
      <c r="AK16" s="57" t="str">
        <f ca="1">IFERROR(IF(C16&lt;&gt;"",IF($AK$10="IST",SUMIF(INDIRECT("'"&amp;$AK$11&amp;"'!"&amp;$H$7),C16,INDIRECT("'"&amp;$AK$11&amp;"'!"&amp;$K$7))),""),"")</f>
        <v/>
      </c>
    </row>
    <row r="17" spans="1:37" x14ac:dyDescent="0.25">
      <c r="A17" s="29"/>
      <c r="B17" s="100"/>
      <c r="C17" s="101"/>
      <c r="D17" s="102"/>
      <c r="E17" s="102"/>
      <c r="F17" s="102"/>
      <c r="G17" s="102"/>
      <c r="H17" s="56" t="str">
        <f t="shared" si="24"/>
        <v/>
      </c>
      <c r="I17" s="56" t="str">
        <f>IF(C17="","",SUMIF($N$10:$AK$10,$I$11,N17:AK17))</f>
        <v/>
      </c>
      <c r="J17" s="56" t="str">
        <f t="shared" ca="1" si="25"/>
        <v/>
      </c>
      <c r="K17" s="56" t="str">
        <f>IF(C17="","",SUMIF($O$10:$AA$10,$K$11,O17:AA17))</f>
        <v/>
      </c>
      <c r="L17" s="57" t="str">
        <f>IF(C17="","",J17+K17)</f>
        <v/>
      </c>
      <c r="M17" s="30"/>
      <c r="N17" s="94"/>
      <c r="O17" s="87" t="str">
        <f ca="1">IFERROR(IF(C17&lt;&gt;"",IF($O$10="IST",SUMIF(INDIRECT("'"&amp;$O$11&amp;"'!"&amp;$H$7),C17,INDIRECT("'"&amp;$O$11&amp;"'!"&amp;$K$7))),""),"")</f>
        <v/>
      </c>
      <c r="P17" s="94"/>
      <c r="Q17" s="57" t="str">
        <f ca="1">IFERROR(IF(C17&lt;&gt;"",IF($Q$10="IST",SUMIF(INDIRECT("'"&amp;$Q$11&amp;"'!"&amp;$H$7),C17,INDIRECT("'"&amp;$Q$11&amp;"'!"&amp;$K$7))),""),"")</f>
        <v/>
      </c>
      <c r="R17" s="95"/>
      <c r="S17" s="87" t="str">
        <f ca="1">IFERROR(IF(C17&lt;&gt;"",IF($S$10="IST",SUMIF(INDIRECT("'"&amp;$S$11&amp;"'!"&amp;$H$7),C17,INDIRECT("'"&amp;$S$11&amp;"'!"&amp;$K$7))),""),"")</f>
        <v/>
      </c>
      <c r="T17" s="94"/>
      <c r="U17" s="57" t="str">
        <f ca="1">IFERROR(IF(C17&lt;&gt;"",IF($U$10="IST",SUMIF(INDIRECT("'"&amp;$U$11&amp;"'!"&amp;$H$7),C17,INDIRECT("'"&amp;$U$11&amp;"'!"&amp;$K$7))),""),"")</f>
        <v/>
      </c>
      <c r="V17" s="95"/>
      <c r="W17" s="87" t="str">
        <f ca="1">IFERROR(IF(C17&lt;&gt;"",IF($W$10="IST",SUMIF(INDIRECT("'"&amp;$W$11&amp;"'!"&amp;$H$7),C17,INDIRECT("'"&amp;$W$11&amp;"'!"&amp;$K$7))),""),"")</f>
        <v/>
      </c>
      <c r="X17" s="94"/>
      <c r="Y17" s="57" t="str">
        <f ca="1">IFERROR(IF(C17&lt;&gt;"",IF($Y$10="IST",SUMIF(INDIRECT("'"&amp;$Y$11&amp;"'!"&amp;$H$7),C17,INDIRECT("'"&amp;$Y$11&amp;"'!"&amp;$K$7))),""),"")</f>
        <v/>
      </c>
      <c r="Z17" s="95"/>
      <c r="AA17" s="87" t="str">
        <f ca="1">IFERROR(IF(C17&lt;&gt;"",IF($AA$10="IST",SUMIF(INDIRECT("'"&amp;$AA$11&amp;"'!"&amp;$H$7),C17,INDIRECT("'"&amp;$AA$11&amp;"'!"&amp;$K$7))),""),"")</f>
        <v/>
      </c>
      <c r="AB17" s="94"/>
      <c r="AC17" s="57" t="str">
        <f ca="1">IFERROR(IF(C17&lt;&gt;"",IF($AC$10="IST",SUMIF(INDIRECT("'"&amp;$AC$11&amp;"'!"&amp;$H$7),C17,INDIRECT("'"&amp;$AC$11&amp;"'!"&amp;$K$7))),""),"")</f>
        <v/>
      </c>
      <c r="AD17" s="95"/>
      <c r="AE17" s="87" t="str">
        <f ca="1">IFERROR(IF(C17&lt;&gt;"",IF($AE$10="IST",SUMIF(INDIRECT("'"&amp;$AE$11&amp;"'!"&amp;$H$7),C17,INDIRECT("'"&amp;$AE$11&amp;"'!"&amp;$K$7))),""),"")</f>
        <v/>
      </c>
      <c r="AF17" s="94"/>
      <c r="AG17" s="57" t="str">
        <f ca="1">IFERROR(IF(C17&lt;&gt;"",IF($AG$10="IST",SUMIF(INDIRECT("'"&amp;$AG$11&amp;"'!"&amp;$H$7),C17,INDIRECT("'"&amp;$AG$11&amp;"'!"&amp;$K$7))),""),"")</f>
        <v/>
      </c>
      <c r="AH17" s="95"/>
      <c r="AI17" s="87" t="str">
        <f ca="1">IFERROR(IF(C17&lt;&gt;"",IF($AI$10="IST",SUMIF(INDIRECT("'"&amp;$AI$11&amp;"'!"&amp;$H$7),C17,INDIRECT("'"&amp;$AI$11&amp;"'!"&amp;$K$7))),""),"")</f>
        <v/>
      </c>
      <c r="AJ17" s="94"/>
      <c r="AK17" s="57" t="str">
        <f ca="1">IFERROR(IF(C17&lt;&gt;"",IF($AK$10="IST",SUMIF(INDIRECT("'"&amp;$AK$11&amp;"'!"&amp;$H$7),C17,INDIRECT("'"&amp;$AK$11&amp;"'!"&amp;$K$7))),""),"")</f>
        <v/>
      </c>
    </row>
    <row r="18" spans="1:37" x14ac:dyDescent="0.25">
      <c r="A18" s="29"/>
      <c r="B18" s="100"/>
      <c r="C18" s="101"/>
      <c r="D18" s="102"/>
      <c r="E18" s="102"/>
      <c r="F18" s="102"/>
      <c r="G18" s="102"/>
      <c r="H18" s="56" t="str">
        <f t="shared" si="24"/>
        <v/>
      </c>
      <c r="I18" s="56" t="str">
        <f>IF(C18="","",SUMIF($N$10:$AK$10,$I$11,N18:AK18))</f>
        <v/>
      </c>
      <c r="J18" s="56" t="str">
        <f t="shared" ca="1" si="25"/>
        <v/>
      </c>
      <c r="K18" s="56" t="str">
        <f>IF(C18="","",SUMIF($O$10:$AA$10,$K$11,O18:AA18))</f>
        <v/>
      </c>
      <c r="L18" s="57" t="str">
        <f>IF(C18="","",J18+K18)</f>
        <v/>
      </c>
      <c r="M18" s="30"/>
      <c r="N18" s="94"/>
      <c r="O18" s="87" t="str">
        <f ca="1">IFERROR(IF(C18&lt;&gt;"",IF($O$10="IST",SUMIF(INDIRECT("'"&amp;$O$11&amp;"'!"&amp;$H$7),C18,INDIRECT("'"&amp;$O$11&amp;"'!"&amp;$K$7))),""),"")</f>
        <v/>
      </c>
      <c r="P18" s="94"/>
      <c r="Q18" s="57" t="str">
        <f ca="1">IFERROR(IF(C18&lt;&gt;"",IF($Q$10="IST",SUMIF(INDIRECT("'"&amp;$Q$11&amp;"'!"&amp;$H$7),C18,INDIRECT("'"&amp;$Q$11&amp;"'!"&amp;$K$7))),""),"")</f>
        <v/>
      </c>
      <c r="R18" s="95"/>
      <c r="S18" s="87" t="str">
        <f ca="1">IFERROR(IF(C18&lt;&gt;"",IF($S$10="IST",SUMIF(INDIRECT("'"&amp;$S$11&amp;"'!"&amp;$H$7),C18,INDIRECT("'"&amp;$S$11&amp;"'!"&amp;$K$7))),""),"")</f>
        <v/>
      </c>
      <c r="T18" s="94"/>
      <c r="U18" s="57" t="str">
        <f ca="1">IFERROR(IF(C18&lt;&gt;"",IF($U$10="IST",SUMIF(INDIRECT("'"&amp;$U$11&amp;"'!"&amp;$H$7),C18,INDIRECT("'"&amp;$U$11&amp;"'!"&amp;$K$7))),""),"")</f>
        <v/>
      </c>
      <c r="V18" s="95"/>
      <c r="W18" s="87" t="str">
        <f ca="1">IFERROR(IF(C18&lt;&gt;"",IF($W$10="IST",SUMIF(INDIRECT("'"&amp;$W$11&amp;"'!"&amp;$H$7),C18,INDIRECT("'"&amp;$W$11&amp;"'!"&amp;$K$7))),""),"")</f>
        <v/>
      </c>
      <c r="X18" s="94"/>
      <c r="Y18" s="57" t="str">
        <f ca="1">IFERROR(IF(C18&lt;&gt;"",IF($Y$10="IST",SUMIF(INDIRECT("'"&amp;$Y$11&amp;"'!"&amp;$H$7),C18,INDIRECT("'"&amp;$Y$11&amp;"'!"&amp;$K$7))),""),"")</f>
        <v/>
      </c>
      <c r="Z18" s="95"/>
      <c r="AA18" s="87" t="str">
        <f ca="1">IFERROR(IF(C18&lt;&gt;"",IF($AA$10="IST",SUMIF(INDIRECT("'"&amp;$AA$11&amp;"'!"&amp;$H$7),C18,INDIRECT("'"&amp;$AA$11&amp;"'!"&amp;$K$7))),""),"")</f>
        <v/>
      </c>
      <c r="AB18" s="94"/>
      <c r="AC18" s="57" t="str">
        <f ca="1">IFERROR(IF(C18&lt;&gt;"",IF($AC$10="IST",SUMIF(INDIRECT("'"&amp;$AC$11&amp;"'!"&amp;$H$7),C18,INDIRECT("'"&amp;$AC$11&amp;"'!"&amp;$K$7))),""),"")</f>
        <v/>
      </c>
      <c r="AD18" s="95"/>
      <c r="AE18" s="87" t="str">
        <f ca="1">IFERROR(IF(C18&lt;&gt;"",IF($AE$10="IST",SUMIF(INDIRECT("'"&amp;$AE$11&amp;"'!"&amp;$H$7),C18,INDIRECT("'"&amp;$AE$11&amp;"'!"&amp;$K$7))),""),"")</f>
        <v/>
      </c>
      <c r="AF18" s="94"/>
      <c r="AG18" s="57" t="str">
        <f ca="1">IFERROR(IF(C18&lt;&gt;"",IF($AG$10="IST",SUMIF(INDIRECT("'"&amp;$AG$11&amp;"'!"&amp;$H$7),C18,INDIRECT("'"&amp;$AG$11&amp;"'!"&amp;$K$7))),""),"")</f>
        <v/>
      </c>
      <c r="AH18" s="95"/>
      <c r="AI18" s="87" t="str">
        <f ca="1">IFERROR(IF(C18&lt;&gt;"",IF($AI$10="IST",SUMIF(INDIRECT("'"&amp;$AI$11&amp;"'!"&amp;$H$7),C18,INDIRECT("'"&amp;$AI$11&amp;"'!"&amp;$K$7))),""),"")</f>
        <v/>
      </c>
      <c r="AJ18" s="94"/>
      <c r="AK18" s="57" t="str">
        <f ca="1">IFERROR(IF(C18&lt;&gt;"",IF($AK$10="IST",SUMIF(INDIRECT("'"&amp;$AK$11&amp;"'!"&amp;$H$7),C18,INDIRECT("'"&amp;$AK$11&amp;"'!"&amp;$K$7))),""),"")</f>
        <v/>
      </c>
    </row>
    <row r="19" spans="1:37" x14ac:dyDescent="0.25">
      <c r="A19" s="29"/>
      <c r="B19" s="100"/>
      <c r="C19" s="101"/>
      <c r="D19" s="102"/>
      <c r="E19" s="102"/>
      <c r="F19" s="102"/>
      <c r="G19" s="102"/>
      <c r="H19" s="56" t="str">
        <f t="shared" si="24"/>
        <v/>
      </c>
      <c r="I19" s="56" t="str">
        <f>IF(C19="","",SUMIF($N$10:$AK$10,$I$11,N19:AK19))</f>
        <v/>
      </c>
      <c r="J19" s="56" t="str">
        <f t="shared" ca="1" si="25"/>
        <v/>
      </c>
      <c r="K19" s="56" t="str">
        <f>IF(C19="","",SUMIF($O$10:$AA$10,$K$11,O19:AA19))</f>
        <v/>
      </c>
      <c r="L19" s="57" t="str">
        <f>IF(C19="","",J19+K19)</f>
        <v/>
      </c>
      <c r="M19" s="30"/>
      <c r="N19" s="94"/>
      <c r="O19" s="87" t="str">
        <f ca="1">IFERROR(IF(C19&lt;&gt;"",IF($O$10="IST",SUMIF(INDIRECT("'"&amp;$O$11&amp;"'!"&amp;$H$7),C19,INDIRECT("'"&amp;$O$11&amp;"'!"&amp;$K$7))),""),"")</f>
        <v/>
      </c>
      <c r="P19" s="94"/>
      <c r="Q19" s="57" t="str">
        <f ca="1">IFERROR(IF(C19&lt;&gt;"",IF($Q$10="IST",SUMIF(INDIRECT("'"&amp;$Q$11&amp;"'!"&amp;$H$7),C19,INDIRECT("'"&amp;$Q$11&amp;"'!"&amp;$K$7))),""),"")</f>
        <v/>
      </c>
      <c r="R19" s="95"/>
      <c r="S19" s="87" t="str">
        <f ca="1">IFERROR(IF(C19&lt;&gt;"",IF($S$10="IST",SUMIF(INDIRECT("'"&amp;$S$11&amp;"'!"&amp;$H$7),C19,INDIRECT("'"&amp;$S$11&amp;"'!"&amp;$K$7))),""),"")</f>
        <v/>
      </c>
      <c r="T19" s="94"/>
      <c r="U19" s="57" t="str">
        <f ca="1">IFERROR(IF(C19&lt;&gt;"",IF($U$10="IST",SUMIF(INDIRECT("'"&amp;$U$11&amp;"'!"&amp;$H$7),C19,INDIRECT("'"&amp;$U$11&amp;"'!"&amp;$K$7))),""),"")</f>
        <v/>
      </c>
      <c r="V19" s="95"/>
      <c r="W19" s="87" t="str">
        <f ca="1">IFERROR(IF(C19&lt;&gt;"",IF($W$10="IST",SUMIF(INDIRECT("'"&amp;$W$11&amp;"'!"&amp;$H$7),C19,INDIRECT("'"&amp;$W$11&amp;"'!"&amp;$K$7))),""),"")</f>
        <v/>
      </c>
      <c r="X19" s="94"/>
      <c r="Y19" s="57" t="str">
        <f ca="1">IFERROR(IF(C19&lt;&gt;"",IF($Y$10="IST",SUMIF(INDIRECT("'"&amp;$Y$11&amp;"'!"&amp;$H$7),C19,INDIRECT("'"&amp;$Y$11&amp;"'!"&amp;$K$7))),""),"")</f>
        <v/>
      </c>
      <c r="Z19" s="95"/>
      <c r="AA19" s="87" t="str">
        <f ca="1">IFERROR(IF(C19&lt;&gt;"",IF($AA$10="IST",SUMIF(INDIRECT("'"&amp;$AA$11&amp;"'!"&amp;$H$7),C19,INDIRECT("'"&amp;$AA$11&amp;"'!"&amp;$K$7))),""),"")</f>
        <v/>
      </c>
      <c r="AB19" s="94"/>
      <c r="AC19" s="57" t="str">
        <f ca="1">IFERROR(IF(C19&lt;&gt;"",IF($AC$10="IST",SUMIF(INDIRECT("'"&amp;$AC$11&amp;"'!"&amp;$H$7),C19,INDIRECT("'"&amp;$AC$11&amp;"'!"&amp;$K$7))),""),"")</f>
        <v/>
      </c>
      <c r="AD19" s="95"/>
      <c r="AE19" s="87" t="str">
        <f ca="1">IFERROR(IF(C19&lt;&gt;"",IF($AE$10="IST",SUMIF(INDIRECT("'"&amp;$AE$11&amp;"'!"&amp;$H$7),C19,INDIRECT("'"&amp;$AE$11&amp;"'!"&amp;$K$7))),""),"")</f>
        <v/>
      </c>
      <c r="AF19" s="94"/>
      <c r="AG19" s="57" t="str">
        <f ca="1">IFERROR(IF(C19&lt;&gt;"",IF($AG$10="IST",SUMIF(INDIRECT("'"&amp;$AG$11&amp;"'!"&amp;$H$7),C19,INDIRECT("'"&amp;$AG$11&amp;"'!"&amp;$K$7))),""),"")</f>
        <v/>
      </c>
      <c r="AH19" s="95"/>
      <c r="AI19" s="87" t="str">
        <f ca="1">IFERROR(IF(C19&lt;&gt;"",IF($AI$10="IST",SUMIF(INDIRECT("'"&amp;$AI$11&amp;"'!"&amp;$H$7),C19,INDIRECT("'"&amp;$AI$11&amp;"'!"&amp;$K$7))),""),"")</f>
        <v/>
      </c>
      <c r="AJ19" s="94"/>
      <c r="AK19" s="57" t="str">
        <f ca="1">IFERROR(IF(C19&lt;&gt;"",IF($AK$10="IST",SUMIF(INDIRECT("'"&amp;$AK$11&amp;"'!"&amp;$H$7),C19,INDIRECT("'"&amp;$AK$11&amp;"'!"&amp;$K$7))),""),"")</f>
        <v/>
      </c>
    </row>
    <row r="20" spans="1:37" x14ac:dyDescent="0.25">
      <c r="A20" s="29"/>
      <c r="B20" s="100"/>
      <c r="C20" s="101"/>
      <c r="D20" s="102"/>
      <c r="E20" s="102"/>
      <c r="F20" s="102"/>
      <c r="G20" s="102"/>
      <c r="H20" s="56" t="str">
        <f t="shared" si="24"/>
        <v/>
      </c>
      <c r="I20" s="56" t="str">
        <f>IF(C20="","",SUMIF($N$10:$AK$10,$I$11,N20:AK20))</f>
        <v/>
      </c>
      <c r="J20" s="56" t="str">
        <f t="shared" ca="1" si="25"/>
        <v/>
      </c>
      <c r="K20" s="56" t="str">
        <f>IF(C20="","",SUMIF($O$10:$AA$10,$K$11,O20:AA20))</f>
        <v/>
      </c>
      <c r="L20" s="57" t="str">
        <f>IF(C20="","",J20+K20)</f>
        <v/>
      </c>
      <c r="M20" s="30"/>
      <c r="N20" s="94"/>
      <c r="O20" s="87" t="str">
        <f ca="1">IFERROR(IF(C20&lt;&gt;"",IF($O$10="IST",SUMIF(INDIRECT("'"&amp;$O$11&amp;"'!"&amp;$H$7),C20,INDIRECT("'"&amp;$O$11&amp;"'!"&amp;$K$7))),""),"")</f>
        <v/>
      </c>
      <c r="P20" s="94"/>
      <c r="Q20" s="57" t="str">
        <f ca="1">IFERROR(IF(C20&lt;&gt;"",IF($Q$10="IST",SUMIF(INDIRECT("'"&amp;$Q$11&amp;"'!"&amp;$H$7),C20,INDIRECT("'"&amp;$Q$11&amp;"'!"&amp;$K$7))),""),"")</f>
        <v/>
      </c>
      <c r="R20" s="95"/>
      <c r="S20" s="87" t="str">
        <f ca="1">IFERROR(IF(C20&lt;&gt;"",IF($S$10="IST",SUMIF(INDIRECT("'"&amp;$S$11&amp;"'!"&amp;$H$7),C20,INDIRECT("'"&amp;$S$11&amp;"'!"&amp;$K$7))),""),"")</f>
        <v/>
      </c>
      <c r="T20" s="94"/>
      <c r="U20" s="57" t="str">
        <f ca="1">IFERROR(IF(C20&lt;&gt;"",IF($U$10="IST",SUMIF(INDIRECT("'"&amp;$U$11&amp;"'!"&amp;$H$7),C20,INDIRECT("'"&amp;$U$11&amp;"'!"&amp;$K$7))),""),"")</f>
        <v/>
      </c>
      <c r="V20" s="95"/>
      <c r="W20" s="87" t="str">
        <f ca="1">IFERROR(IF(C20&lt;&gt;"",IF($W$10="IST",SUMIF(INDIRECT("'"&amp;$W$11&amp;"'!"&amp;$H$7),C20,INDIRECT("'"&amp;$W$11&amp;"'!"&amp;$K$7))),""),"")</f>
        <v/>
      </c>
      <c r="X20" s="94"/>
      <c r="Y20" s="57" t="str">
        <f ca="1">IFERROR(IF(C20&lt;&gt;"",IF($Y$10="IST",SUMIF(INDIRECT("'"&amp;$Y$11&amp;"'!"&amp;$H$7),C20,INDIRECT("'"&amp;$Y$11&amp;"'!"&amp;$K$7))),""),"")</f>
        <v/>
      </c>
      <c r="Z20" s="95"/>
      <c r="AA20" s="87" t="str">
        <f ca="1">IFERROR(IF(C20&lt;&gt;"",IF($AA$10="IST",SUMIF(INDIRECT("'"&amp;$AA$11&amp;"'!"&amp;$H$7),C20,INDIRECT("'"&amp;$AA$11&amp;"'!"&amp;$K$7))),""),"")</f>
        <v/>
      </c>
      <c r="AB20" s="94"/>
      <c r="AC20" s="57" t="str">
        <f ca="1">IFERROR(IF(C20&lt;&gt;"",IF($AC$10="IST",SUMIF(INDIRECT("'"&amp;$AC$11&amp;"'!"&amp;$H$7),C20,INDIRECT("'"&amp;$AC$11&amp;"'!"&amp;$K$7))),""),"")</f>
        <v/>
      </c>
      <c r="AD20" s="95"/>
      <c r="AE20" s="87" t="str">
        <f ca="1">IFERROR(IF(C20&lt;&gt;"",IF($AE$10="IST",SUMIF(INDIRECT("'"&amp;$AE$11&amp;"'!"&amp;$H$7),C20,INDIRECT("'"&amp;$AE$11&amp;"'!"&amp;$K$7))),""),"")</f>
        <v/>
      </c>
      <c r="AF20" s="94"/>
      <c r="AG20" s="57" t="str">
        <f ca="1">IFERROR(IF(C20&lt;&gt;"",IF($AG$10="IST",SUMIF(INDIRECT("'"&amp;$AG$11&amp;"'!"&amp;$H$7),C20,INDIRECT("'"&amp;$AG$11&amp;"'!"&amp;$K$7))),""),"")</f>
        <v/>
      </c>
      <c r="AH20" s="95"/>
      <c r="AI20" s="87" t="str">
        <f ca="1">IFERROR(IF(C20&lt;&gt;"",IF($AI$10="IST",SUMIF(INDIRECT("'"&amp;$AI$11&amp;"'!"&amp;$H$7),C20,INDIRECT("'"&amp;$AI$11&amp;"'!"&amp;$K$7))),""),"")</f>
        <v/>
      </c>
      <c r="AJ20" s="94"/>
      <c r="AK20" s="57" t="str">
        <f ca="1">IFERROR(IF(C20&lt;&gt;"",IF($AK$10="IST",SUMIF(INDIRECT("'"&amp;$AK$11&amp;"'!"&amp;$H$7),C20,INDIRECT("'"&amp;$AK$11&amp;"'!"&amp;$K$7))),""),"")</f>
        <v/>
      </c>
    </row>
    <row r="21" spans="1:37" x14ac:dyDescent="0.25">
      <c r="A21" s="29"/>
      <c r="B21" s="100"/>
      <c r="C21" s="101"/>
      <c r="D21" s="102"/>
      <c r="E21" s="102"/>
      <c r="F21" s="102"/>
      <c r="G21" s="102"/>
      <c r="H21" s="56" t="str">
        <f t="shared" si="24"/>
        <v/>
      </c>
      <c r="I21" s="56" t="str">
        <f>IF(C21="","",SUMIF($N$10:$AK$10,$I$11,N21:AK21))</f>
        <v/>
      </c>
      <c r="J21" s="56" t="str">
        <f t="shared" ca="1" si="25"/>
        <v/>
      </c>
      <c r="K21" s="56" t="str">
        <f>IF(C21="","",SUMIF($O$10:$AA$10,$K$11,O21:AA21))</f>
        <v/>
      </c>
      <c r="L21" s="57" t="str">
        <f>IF(C21="","",J21+K21)</f>
        <v/>
      </c>
      <c r="M21" s="30"/>
      <c r="N21" s="94"/>
      <c r="O21" s="87" t="str">
        <f ca="1">IFERROR(IF(C21&lt;&gt;"",IF($O$10="IST",SUMIF(INDIRECT("'"&amp;$O$11&amp;"'!"&amp;$H$7),C21,INDIRECT("'"&amp;$O$11&amp;"'!"&amp;$K$7))),""),"")</f>
        <v/>
      </c>
      <c r="P21" s="94"/>
      <c r="Q21" s="57" t="str">
        <f ca="1">IFERROR(IF(C21&lt;&gt;"",IF($Q$10="IST",SUMIF(INDIRECT("'"&amp;$Q$11&amp;"'!"&amp;$H$7),C21,INDIRECT("'"&amp;$Q$11&amp;"'!"&amp;$K$7))),""),"")</f>
        <v/>
      </c>
      <c r="R21" s="95"/>
      <c r="S21" s="87" t="str">
        <f ca="1">IFERROR(IF(C21&lt;&gt;"",IF($S$10="IST",SUMIF(INDIRECT("'"&amp;$S$11&amp;"'!"&amp;$H$7),C21,INDIRECT("'"&amp;$S$11&amp;"'!"&amp;$K$7))),""),"")</f>
        <v/>
      </c>
      <c r="T21" s="94"/>
      <c r="U21" s="57" t="str">
        <f ca="1">IFERROR(IF(C21&lt;&gt;"",IF($U$10="IST",SUMIF(INDIRECT("'"&amp;$U$11&amp;"'!"&amp;$H$7),C21,INDIRECT("'"&amp;$U$11&amp;"'!"&amp;$K$7))),""),"")</f>
        <v/>
      </c>
      <c r="V21" s="95"/>
      <c r="W21" s="87" t="str">
        <f ca="1">IFERROR(IF(C21&lt;&gt;"",IF($W$10="IST",SUMIF(INDIRECT("'"&amp;$W$11&amp;"'!"&amp;$H$7),C21,INDIRECT("'"&amp;$W$11&amp;"'!"&amp;$K$7))),""),"")</f>
        <v/>
      </c>
      <c r="X21" s="94"/>
      <c r="Y21" s="57" t="str">
        <f ca="1">IFERROR(IF(C21&lt;&gt;"",IF($Y$10="IST",SUMIF(INDIRECT("'"&amp;$Y$11&amp;"'!"&amp;$H$7),C21,INDIRECT("'"&amp;$Y$11&amp;"'!"&amp;$K$7))),""),"")</f>
        <v/>
      </c>
      <c r="Z21" s="95"/>
      <c r="AA21" s="87" t="str">
        <f ca="1">IFERROR(IF(C21&lt;&gt;"",IF($AA$10="IST",SUMIF(INDIRECT("'"&amp;$AA$11&amp;"'!"&amp;$H$7),C21,INDIRECT("'"&amp;$AA$11&amp;"'!"&amp;$K$7))),""),"")</f>
        <v/>
      </c>
      <c r="AB21" s="94"/>
      <c r="AC21" s="57" t="str">
        <f ca="1">IFERROR(IF(C21&lt;&gt;"",IF($AC$10="IST",SUMIF(INDIRECT("'"&amp;$AC$11&amp;"'!"&amp;$H$7),C21,INDIRECT("'"&amp;$AC$11&amp;"'!"&amp;$K$7))),""),"")</f>
        <v/>
      </c>
      <c r="AD21" s="95"/>
      <c r="AE21" s="87" t="str">
        <f ca="1">IFERROR(IF(C21&lt;&gt;"",IF($AE$10="IST",SUMIF(INDIRECT("'"&amp;$AE$11&amp;"'!"&amp;$H$7),C21,INDIRECT("'"&amp;$AE$11&amp;"'!"&amp;$K$7))),""),"")</f>
        <v/>
      </c>
      <c r="AF21" s="94"/>
      <c r="AG21" s="57" t="str">
        <f ca="1">IFERROR(IF(C21&lt;&gt;"",IF($AG$10="IST",SUMIF(INDIRECT("'"&amp;$AG$11&amp;"'!"&amp;$H$7),C21,INDIRECT("'"&amp;$AG$11&amp;"'!"&amp;$K$7))),""),"")</f>
        <v/>
      </c>
      <c r="AH21" s="95"/>
      <c r="AI21" s="87" t="str">
        <f ca="1">IFERROR(IF(C21&lt;&gt;"",IF($AI$10="IST",SUMIF(INDIRECT("'"&amp;$AI$11&amp;"'!"&amp;$H$7),C21,INDIRECT("'"&amp;$AI$11&amp;"'!"&amp;$K$7))),""),"")</f>
        <v/>
      </c>
      <c r="AJ21" s="94"/>
      <c r="AK21" s="57" t="str">
        <f ca="1">IFERROR(IF(C21&lt;&gt;"",IF($AK$10="IST",SUMIF(INDIRECT("'"&amp;$AK$11&amp;"'!"&amp;$H$7),C21,INDIRECT("'"&amp;$AK$11&amp;"'!"&amp;$K$7))),""),"")</f>
        <v/>
      </c>
    </row>
    <row r="22" spans="1:37" x14ac:dyDescent="0.25">
      <c r="A22" s="29"/>
      <c r="B22" s="100"/>
      <c r="C22" s="101"/>
      <c r="D22" s="102"/>
      <c r="E22" s="102"/>
      <c r="F22" s="102"/>
      <c r="G22" s="102"/>
      <c r="H22" s="56" t="str">
        <f t="shared" si="24"/>
        <v/>
      </c>
      <c r="I22" s="56" t="str">
        <f>IF(C22="","",SUMIF($N$10:$AK$10,$I$11,N22:AK22))</f>
        <v/>
      </c>
      <c r="J22" s="56" t="str">
        <f t="shared" ca="1" si="25"/>
        <v/>
      </c>
      <c r="K22" s="56" t="str">
        <f>IF(C22="","",SUMIF($O$10:$AA$10,$K$11,O22:AA22))</f>
        <v/>
      </c>
      <c r="L22" s="57" t="str">
        <f>IF(C22="","",J22+K22)</f>
        <v/>
      </c>
      <c r="M22" s="30"/>
      <c r="N22" s="94"/>
      <c r="O22" s="87" t="str">
        <f ca="1">IFERROR(IF(C22&lt;&gt;"",IF($O$10="IST",SUMIF(INDIRECT("'"&amp;$O$11&amp;"'!"&amp;$H$7),C22,INDIRECT("'"&amp;$O$11&amp;"'!"&amp;$K$7))),""),"")</f>
        <v/>
      </c>
      <c r="P22" s="94"/>
      <c r="Q22" s="57" t="str">
        <f ca="1">IFERROR(IF(C22&lt;&gt;"",IF($Q$10="IST",SUMIF(INDIRECT("'"&amp;$Q$11&amp;"'!"&amp;$H$7),C22,INDIRECT("'"&amp;$Q$11&amp;"'!"&amp;$K$7))),""),"")</f>
        <v/>
      </c>
      <c r="R22" s="95"/>
      <c r="S22" s="87" t="str">
        <f ca="1">IFERROR(IF(C22&lt;&gt;"",IF($S$10="IST",SUMIF(INDIRECT("'"&amp;$S$11&amp;"'!"&amp;$H$7),C22,INDIRECT("'"&amp;$S$11&amp;"'!"&amp;$K$7))),""),"")</f>
        <v/>
      </c>
      <c r="T22" s="94"/>
      <c r="U22" s="57" t="str">
        <f ca="1">IFERROR(IF(C22&lt;&gt;"",IF($U$10="IST",SUMIF(INDIRECT("'"&amp;$U$11&amp;"'!"&amp;$H$7),C22,INDIRECT("'"&amp;$U$11&amp;"'!"&amp;$K$7))),""),"")</f>
        <v/>
      </c>
      <c r="V22" s="95"/>
      <c r="W22" s="87" t="str">
        <f ca="1">IFERROR(IF(C22&lt;&gt;"",IF($W$10="IST",SUMIF(INDIRECT("'"&amp;$W$11&amp;"'!"&amp;$H$7),C22,INDIRECT("'"&amp;$W$11&amp;"'!"&amp;$K$7))),""),"")</f>
        <v/>
      </c>
      <c r="X22" s="94"/>
      <c r="Y22" s="57" t="str">
        <f ca="1">IFERROR(IF(C22&lt;&gt;"",IF($Y$10="IST",SUMIF(INDIRECT("'"&amp;$Y$11&amp;"'!"&amp;$H$7),C22,INDIRECT("'"&amp;$Y$11&amp;"'!"&amp;$K$7))),""),"")</f>
        <v/>
      </c>
      <c r="Z22" s="95"/>
      <c r="AA22" s="87" t="str">
        <f ca="1">IFERROR(IF(C22&lt;&gt;"",IF($AA$10="IST",SUMIF(INDIRECT("'"&amp;$AA$11&amp;"'!"&amp;$H$7),C22,INDIRECT("'"&amp;$AA$11&amp;"'!"&amp;$K$7))),""),"")</f>
        <v/>
      </c>
      <c r="AB22" s="94"/>
      <c r="AC22" s="57" t="str">
        <f ca="1">IFERROR(IF(C22&lt;&gt;"",IF($AC$10="IST",SUMIF(INDIRECT("'"&amp;$AC$11&amp;"'!"&amp;$H$7),C22,INDIRECT("'"&amp;$AC$11&amp;"'!"&amp;$K$7))),""),"")</f>
        <v/>
      </c>
      <c r="AD22" s="95"/>
      <c r="AE22" s="87" t="str">
        <f ca="1">IFERROR(IF(C22&lt;&gt;"",IF($AE$10="IST",SUMIF(INDIRECT("'"&amp;$AE$11&amp;"'!"&amp;$H$7),C22,INDIRECT("'"&amp;$AE$11&amp;"'!"&amp;$K$7))),""),"")</f>
        <v/>
      </c>
      <c r="AF22" s="94"/>
      <c r="AG22" s="57" t="str">
        <f ca="1">IFERROR(IF(C22&lt;&gt;"",IF($AG$10="IST",SUMIF(INDIRECT("'"&amp;$AG$11&amp;"'!"&amp;$H$7),C22,INDIRECT("'"&amp;$AG$11&amp;"'!"&amp;$K$7))),""),"")</f>
        <v/>
      </c>
      <c r="AH22" s="95"/>
      <c r="AI22" s="87" t="str">
        <f ca="1">IFERROR(IF(C22&lt;&gt;"",IF($AI$10="IST",SUMIF(INDIRECT("'"&amp;$AI$11&amp;"'!"&amp;$H$7),C22,INDIRECT("'"&amp;$AI$11&amp;"'!"&amp;$K$7))),""),"")</f>
        <v/>
      </c>
      <c r="AJ22" s="94"/>
      <c r="AK22" s="57" t="str">
        <f ca="1">IFERROR(IF(C22&lt;&gt;"",IF($AK$10="IST",SUMIF(INDIRECT("'"&amp;$AK$11&amp;"'!"&amp;$H$7),C22,INDIRECT("'"&amp;$AK$11&amp;"'!"&amp;$K$7))),""),"")</f>
        <v/>
      </c>
    </row>
    <row r="23" spans="1:37" x14ac:dyDescent="0.25">
      <c r="A23" s="29"/>
      <c r="B23" s="100"/>
      <c r="C23" s="101"/>
      <c r="D23" s="102"/>
      <c r="E23" s="102"/>
      <c r="F23" s="102"/>
      <c r="G23" s="102"/>
      <c r="H23" s="56" t="str">
        <f t="shared" si="24"/>
        <v/>
      </c>
      <c r="I23" s="56" t="str">
        <f>IF(C23="","",SUMIF($N$10:$AK$10,$I$11,N23:AK23))</f>
        <v/>
      </c>
      <c r="J23" s="56" t="str">
        <f t="shared" ca="1" si="25"/>
        <v/>
      </c>
      <c r="K23" s="56" t="str">
        <f>IF(C23="","",SUMIF($O$10:$AA$10,$K$11,O23:AA23))</f>
        <v/>
      </c>
      <c r="L23" s="57" t="str">
        <f>IF(C23="","",J23+K23)</f>
        <v/>
      </c>
      <c r="M23" s="30"/>
      <c r="N23" s="94"/>
      <c r="O23" s="87" t="str">
        <f ca="1">IFERROR(IF(C23&lt;&gt;"",IF($O$10="IST",SUMIF(INDIRECT("'"&amp;$O$11&amp;"'!"&amp;$H$7),C23,INDIRECT("'"&amp;$O$11&amp;"'!"&amp;$K$7))),""),"")</f>
        <v/>
      </c>
      <c r="P23" s="94"/>
      <c r="Q23" s="57" t="str">
        <f ca="1">IFERROR(IF(C23&lt;&gt;"",IF($Q$10="IST",SUMIF(INDIRECT("'"&amp;$Q$11&amp;"'!"&amp;$H$7),C23,INDIRECT("'"&amp;$Q$11&amp;"'!"&amp;$K$7))),""),"")</f>
        <v/>
      </c>
      <c r="R23" s="95"/>
      <c r="S23" s="87" t="str">
        <f ca="1">IFERROR(IF(C23&lt;&gt;"",IF($S$10="IST",SUMIF(INDIRECT("'"&amp;$S$11&amp;"'!"&amp;$H$7),C23,INDIRECT("'"&amp;$S$11&amp;"'!"&amp;$K$7))),""),"")</f>
        <v/>
      </c>
      <c r="T23" s="94"/>
      <c r="U23" s="57" t="str">
        <f ca="1">IFERROR(IF(C23&lt;&gt;"",IF($U$10="IST",SUMIF(INDIRECT("'"&amp;$U$11&amp;"'!"&amp;$H$7),C23,INDIRECT("'"&amp;$U$11&amp;"'!"&amp;$K$7))),""),"")</f>
        <v/>
      </c>
      <c r="V23" s="95"/>
      <c r="W23" s="87" t="str">
        <f ca="1">IFERROR(IF(C23&lt;&gt;"",IF($W$10="IST",SUMIF(INDIRECT("'"&amp;$W$11&amp;"'!"&amp;$H$7),C23,INDIRECT("'"&amp;$W$11&amp;"'!"&amp;$K$7))),""),"")</f>
        <v/>
      </c>
      <c r="X23" s="94"/>
      <c r="Y23" s="57" t="str">
        <f ca="1">IFERROR(IF(C23&lt;&gt;"",IF($Y$10="IST",SUMIF(INDIRECT("'"&amp;$Y$11&amp;"'!"&amp;$H$7),C23,INDIRECT("'"&amp;$Y$11&amp;"'!"&amp;$K$7))),""),"")</f>
        <v/>
      </c>
      <c r="Z23" s="95"/>
      <c r="AA23" s="87" t="str">
        <f ca="1">IFERROR(IF(C23&lt;&gt;"",IF($AA$10="IST",SUMIF(INDIRECT("'"&amp;$AA$11&amp;"'!"&amp;$H$7),C23,INDIRECT("'"&amp;$AA$11&amp;"'!"&amp;$K$7))),""),"")</f>
        <v/>
      </c>
      <c r="AB23" s="94"/>
      <c r="AC23" s="57" t="str">
        <f ca="1">IFERROR(IF(C23&lt;&gt;"",IF($AC$10="IST",SUMIF(INDIRECT("'"&amp;$AC$11&amp;"'!"&amp;$H$7),C23,INDIRECT("'"&amp;$AC$11&amp;"'!"&amp;$K$7))),""),"")</f>
        <v/>
      </c>
      <c r="AD23" s="95"/>
      <c r="AE23" s="87" t="str">
        <f ca="1">IFERROR(IF(C23&lt;&gt;"",IF($AE$10="IST",SUMIF(INDIRECT("'"&amp;$AE$11&amp;"'!"&amp;$H$7),C23,INDIRECT("'"&amp;$AE$11&amp;"'!"&amp;$K$7))),""),"")</f>
        <v/>
      </c>
      <c r="AF23" s="94"/>
      <c r="AG23" s="57" t="str">
        <f ca="1">IFERROR(IF(C23&lt;&gt;"",IF($AG$10="IST",SUMIF(INDIRECT("'"&amp;$AG$11&amp;"'!"&amp;$H$7),C23,INDIRECT("'"&amp;$AG$11&amp;"'!"&amp;$K$7))),""),"")</f>
        <v/>
      </c>
      <c r="AH23" s="95"/>
      <c r="AI23" s="87" t="str">
        <f ca="1">IFERROR(IF(C23&lt;&gt;"",IF($AI$10="IST",SUMIF(INDIRECT("'"&amp;$AI$11&amp;"'!"&amp;$H$7),C23,INDIRECT("'"&amp;$AI$11&amp;"'!"&amp;$K$7))),""),"")</f>
        <v/>
      </c>
      <c r="AJ23" s="94"/>
      <c r="AK23" s="57" t="str">
        <f ca="1">IFERROR(IF(C23&lt;&gt;"",IF($AK$10="IST",SUMIF(INDIRECT("'"&amp;$AK$11&amp;"'!"&amp;$H$7),C23,INDIRECT("'"&amp;$AK$11&amp;"'!"&amp;$K$7))),""),"")</f>
        <v/>
      </c>
    </row>
    <row r="24" spans="1:37" x14ac:dyDescent="0.25">
      <c r="A24" s="29"/>
      <c r="B24" s="100"/>
      <c r="C24" s="101"/>
      <c r="D24" s="102"/>
      <c r="E24" s="102"/>
      <c r="F24" s="102"/>
      <c r="G24" s="102"/>
      <c r="H24" s="56" t="str">
        <f t="shared" si="24"/>
        <v/>
      </c>
      <c r="I24" s="56" t="str">
        <f>IF(C24="","",SUMIF($N$10:$AK$10,$I$11,N24:AK24))</f>
        <v/>
      </c>
      <c r="J24" s="56" t="str">
        <f t="shared" ca="1" si="25"/>
        <v/>
      </c>
      <c r="K24" s="56" t="str">
        <f>IF(C24="","",SUMIF($O$10:$AA$10,$K$11,O24:AA24))</f>
        <v/>
      </c>
      <c r="L24" s="57" t="str">
        <f>IF(C24="","",J24+K24)</f>
        <v/>
      </c>
      <c r="M24" s="30"/>
      <c r="N24" s="94"/>
      <c r="O24" s="87" t="str">
        <f ca="1">IFERROR(IF(C24&lt;&gt;"",IF($O$10="IST",SUMIF(INDIRECT("'"&amp;$O$11&amp;"'!"&amp;$H$7),C24,INDIRECT("'"&amp;$O$11&amp;"'!"&amp;$K$7))),""),"")</f>
        <v/>
      </c>
      <c r="P24" s="94"/>
      <c r="Q24" s="57" t="str">
        <f ca="1">IFERROR(IF(C24&lt;&gt;"",IF($Q$10="IST",SUMIF(INDIRECT("'"&amp;$Q$11&amp;"'!"&amp;$H$7),C24,INDIRECT("'"&amp;$Q$11&amp;"'!"&amp;$K$7))),""),"")</f>
        <v/>
      </c>
      <c r="R24" s="95"/>
      <c r="S24" s="87" t="str">
        <f ca="1">IFERROR(IF(C24&lt;&gt;"",IF($S$10="IST",SUMIF(INDIRECT("'"&amp;$S$11&amp;"'!"&amp;$H$7),C24,INDIRECT("'"&amp;$S$11&amp;"'!"&amp;$K$7))),""),"")</f>
        <v/>
      </c>
      <c r="T24" s="94"/>
      <c r="U24" s="57" t="str">
        <f ca="1">IFERROR(IF(C24&lt;&gt;"",IF($U$10="IST",SUMIF(INDIRECT("'"&amp;$U$11&amp;"'!"&amp;$H$7),C24,INDIRECT("'"&amp;$U$11&amp;"'!"&amp;$K$7))),""),"")</f>
        <v/>
      </c>
      <c r="V24" s="95"/>
      <c r="W24" s="87" t="str">
        <f ca="1">IFERROR(IF(C24&lt;&gt;"",IF($W$10="IST",SUMIF(INDIRECT("'"&amp;$W$11&amp;"'!"&amp;$H$7),C24,INDIRECT("'"&amp;$W$11&amp;"'!"&amp;$K$7))),""),"")</f>
        <v/>
      </c>
      <c r="X24" s="94"/>
      <c r="Y24" s="57" t="str">
        <f ca="1">IFERROR(IF(C24&lt;&gt;"",IF($Y$10="IST",SUMIF(INDIRECT("'"&amp;$Y$11&amp;"'!"&amp;$H$7),C24,INDIRECT("'"&amp;$Y$11&amp;"'!"&amp;$K$7))),""),"")</f>
        <v/>
      </c>
      <c r="Z24" s="95"/>
      <c r="AA24" s="87" t="str">
        <f ca="1">IFERROR(IF(C24&lt;&gt;"",IF($AA$10="IST",SUMIF(INDIRECT("'"&amp;$AA$11&amp;"'!"&amp;$H$7),C24,INDIRECT("'"&amp;$AA$11&amp;"'!"&amp;$K$7))),""),"")</f>
        <v/>
      </c>
      <c r="AB24" s="94"/>
      <c r="AC24" s="57" t="str">
        <f ca="1">IFERROR(IF(C24&lt;&gt;"",IF($AC$10="IST",SUMIF(INDIRECT("'"&amp;$AC$11&amp;"'!"&amp;$H$7),C24,INDIRECT("'"&amp;$AC$11&amp;"'!"&amp;$K$7))),""),"")</f>
        <v/>
      </c>
      <c r="AD24" s="95"/>
      <c r="AE24" s="87" t="str">
        <f ca="1">IFERROR(IF(C24&lt;&gt;"",IF($AE$10="IST",SUMIF(INDIRECT("'"&amp;$AE$11&amp;"'!"&amp;$H$7),C24,INDIRECT("'"&amp;$AE$11&amp;"'!"&amp;$K$7))),""),"")</f>
        <v/>
      </c>
      <c r="AF24" s="94"/>
      <c r="AG24" s="57" t="str">
        <f ca="1">IFERROR(IF(C24&lt;&gt;"",IF($AG$10="IST",SUMIF(INDIRECT("'"&amp;$AG$11&amp;"'!"&amp;$H$7),C24,INDIRECT("'"&amp;$AG$11&amp;"'!"&amp;$K$7))),""),"")</f>
        <v/>
      </c>
      <c r="AH24" s="95"/>
      <c r="AI24" s="87" t="str">
        <f ca="1">IFERROR(IF(C24&lt;&gt;"",IF($AI$10="IST",SUMIF(INDIRECT("'"&amp;$AI$11&amp;"'!"&amp;$H$7),C24,INDIRECT("'"&amp;$AI$11&amp;"'!"&amp;$K$7))),""),"")</f>
        <v/>
      </c>
      <c r="AJ24" s="94"/>
      <c r="AK24" s="57" t="str">
        <f ca="1">IFERROR(IF(C24&lt;&gt;"",IF($AK$10="IST",SUMIF(INDIRECT("'"&amp;$AK$11&amp;"'!"&amp;$H$7),C24,INDIRECT("'"&amp;$AK$11&amp;"'!"&amp;$K$7))),""),"")</f>
        <v/>
      </c>
    </row>
    <row r="25" spans="1:37" x14ac:dyDescent="0.25">
      <c r="A25" s="29"/>
      <c r="B25" s="100"/>
      <c r="C25" s="101"/>
      <c r="D25" s="102"/>
      <c r="E25" s="102"/>
      <c r="F25" s="102"/>
      <c r="G25" s="102"/>
      <c r="H25" s="56" t="str">
        <f t="shared" si="24"/>
        <v/>
      </c>
      <c r="I25" s="56" t="str">
        <f>IF(C25="","",SUMIF($N$10:$AK$10,$I$11,N25:AK25))</f>
        <v/>
      </c>
      <c r="J25" s="56" t="str">
        <f t="shared" ca="1" si="25"/>
        <v/>
      </c>
      <c r="K25" s="56" t="str">
        <f>IF(C25="","",SUMIF($O$10:$AA$10,$K$11,O25:AA25))</f>
        <v/>
      </c>
      <c r="L25" s="57" t="str">
        <f>IF(C25="","",J25+K25)</f>
        <v/>
      </c>
      <c r="M25" s="30"/>
      <c r="N25" s="94"/>
      <c r="O25" s="87" t="str">
        <f ca="1">IFERROR(IF(C25&lt;&gt;"",IF($O$10="IST",SUMIF(INDIRECT("'"&amp;$O$11&amp;"'!"&amp;$H$7),C25,INDIRECT("'"&amp;$O$11&amp;"'!"&amp;$K$7))),""),"")</f>
        <v/>
      </c>
      <c r="P25" s="94"/>
      <c r="Q25" s="57" t="str">
        <f ca="1">IFERROR(IF(C25&lt;&gt;"",IF($Q$10="IST",SUMIF(INDIRECT("'"&amp;$Q$11&amp;"'!"&amp;$H$7),C25,INDIRECT("'"&amp;$Q$11&amp;"'!"&amp;$K$7))),""),"")</f>
        <v/>
      </c>
      <c r="R25" s="95"/>
      <c r="S25" s="87" t="str">
        <f ca="1">IFERROR(IF(C25&lt;&gt;"",IF($S$10="IST",SUMIF(INDIRECT("'"&amp;$S$11&amp;"'!"&amp;$H$7),C25,INDIRECT("'"&amp;$S$11&amp;"'!"&amp;$K$7))),""),"")</f>
        <v/>
      </c>
      <c r="T25" s="94"/>
      <c r="U25" s="57" t="str">
        <f ca="1">IFERROR(IF(C25&lt;&gt;"",IF($U$10="IST",SUMIF(INDIRECT("'"&amp;$U$11&amp;"'!"&amp;$H$7),C25,INDIRECT("'"&amp;$U$11&amp;"'!"&amp;$K$7))),""),"")</f>
        <v/>
      </c>
      <c r="V25" s="95"/>
      <c r="W25" s="87" t="str">
        <f ca="1">IFERROR(IF(C25&lt;&gt;"",IF($W$10="IST",SUMIF(INDIRECT("'"&amp;$W$11&amp;"'!"&amp;$H$7),C25,INDIRECT("'"&amp;$W$11&amp;"'!"&amp;$K$7))),""),"")</f>
        <v/>
      </c>
      <c r="X25" s="94"/>
      <c r="Y25" s="57" t="str">
        <f ca="1">IFERROR(IF(C25&lt;&gt;"",IF($Y$10="IST",SUMIF(INDIRECT("'"&amp;$Y$11&amp;"'!"&amp;$H$7),C25,INDIRECT("'"&amp;$Y$11&amp;"'!"&amp;$K$7))),""),"")</f>
        <v/>
      </c>
      <c r="Z25" s="95"/>
      <c r="AA25" s="87" t="str">
        <f ca="1">IFERROR(IF(C25&lt;&gt;"",IF($AA$10="IST",SUMIF(INDIRECT("'"&amp;$AA$11&amp;"'!"&amp;$H$7),C25,INDIRECT("'"&amp;$AA$11&amp;"'!"&amp;$K$7))),""),"")</f>
        <v/>
      </c>
      <c r="AB25" s="94"/>
      <c r="AC25" s="57" t="str">
        <f ca="1">IFERROR(IF(C25&lt;&gt;"",IF($AC$10="IST",SUMIF(INDIRECT("'"&amp;$AC$11&amp;"'!"&amp;$H$7),C25,INDIRECT("'"&amp;$AC$11&amp;"'!"&amp;$K$7))),""),"")</f>
        <v/>
      </c>
      <c r="AD25" s="95"/>
      <c r="AE25" s="87" t="str">
        <f ca="1">IFERROR(IF(C25&lt;&gt;"",IF($AE$10="IST",SUMIF(INDIRECT("'"&amp;$AE$11&amp;"'!"&amp;$H$7),C25,INDIRECT("'"&amp;$AE$11&amp;"'!"&amp;$K$7))),""),"")</f>
        <v/>
      </c>
      <c r="AF25" s="94"/>
      <c r="AG25" s="57" t="str">
        <f ca="1">IFERROR(IF(C25&lt;&gt;"",IF($AG$10="IST",SUMIF(INDIRECT("'"&amp;$AG$11&amp;"'!"&amp;$H$7),C25,INDIRECT("'"&amp;$AG$11&amp;"'!"&amp;$K$7))),""),"")</f>
        <v/>
      </c>
      <c r="AH25" s="95"/>
      <c r="AI25" s="87" t="str">
        <f ca="1">IFERROR(IF(C25&lt;&gt;"",IF($AI$10="IST",SUMIF(INDIRECT("'"&amp;$AI$11&amp;"'!"&amp;$H$7),C25,INDIRECT("'"&amp;$AI$11&amp;"'!"&amp;$K$7))),""),"")</f>
        <v/>
      </c>
      <c r="AJ25" s="94"/>
      <c r="AK25" s="57" t="str">
        <f ca="1">IFERROR(IF(C25&lt;&gt;"",IF($AK$10="IST",SUMIF(INDIRECT("'"&amp;$AK$11&amp;"'!"&amp;$H$7),C25,INDIRECT("'"&amp;$AK$11&amp;"'!"&amp;$K$7))),""),"")</f>
        <v/>
      </c>
    </row>
    <row r="26" spans="1:37" x14ac:dyDescent="0.25">
      <c r="A26" s="29"/>
      <c r="B26" s="100"/>
      <c r="C26" s="101"/>
      <c r="D26" s="102"/>
      <c r="E26" s="102"/>
      <c r="F26" s="102"/>
      <c r="G26" s="102"/>
      <c r="H26" s="56" t="str">
        <f t="shared" si="24"/>
        <v/>
      </c>
      <c r="I26" s="56" t="str">
        <f>IF(C26="","",SUMIF($N$10:$AK$10,$I$11,N26:AK26))</f>
        <v/>
      </c>
      <c r="J26" s="56" t="str">
        <f t="shared" ca="1" si="25"/>
        <v/>
      </c>
      <c r="K26" s="56" t="str">
        <f>IF(C26="","",SUMIF($O$10:$AA$10,$K$11,O26:AA26))</f>
        <v/>
      </c>
      <c r="L26" s="57" t="str">
        <f>IF(C26="","",J26+K26)</f>
        <v/>
      </c>
      <c r="M26" s="30"/>
      <c r="N26" s="94"/>
      <c r="O26" s="87" t="str">
        <f ca="1">IFERROR(IF(C26&lt;&gt;"",IF($O$10="IST",SUMIF(INDIRECT("'"&amp;$O$11&amp;"'!"&amp;$H$7),C26,INDIRECT("'"&amp;$O$11&amp;"'!"&amp;$K$7))),""),"")</f>
        <v/>
      </c>
      <c r="P26" s="94"/>
      <c r="Q26" s="57" t="str">
        <f ca="1">IFERROR(IF(C26&lt;&gt;"",IF($Q$10="IST",SUMIF(INDIRECT("'"&amp;$Q$11&amp;"'!"&amp;$H$7),C26,INDIRECT("'"&amp;$Q$11&amp;"'!"&amp;$K$7))),""),"")</f>
        <v/>
      </c>
      <c r="R26" s="95"/>
      <c r="S26" s="87" t="str">
        <f ca="1">IFERROR(IF(C26&lt;&gt;"",IF($S$10="IST",SUMIF(INDIRECT("'"&amp;$S$11&amp;"'!"&amp;$H$7),C26,INDIRECT("'"&amp;$S$11&amp;"'!"&amp;$K$7))),""),"")</f>
        <v/>
      </c>
      <c r="T26" s="94"/>
      <c r="U26" s="57" t="str">
        <f ca="1">IFERROR(IF(C26&lt;&gt;"",IF($U$10="IST",SUMIF(INDIRECT("'"&amp;$U$11&amp;"'!"&amp;$H$7),C26,INDIRECT("'"&amp;$U$11&amp;"'!"&amp;$K$7))),""),"")</f>
        <v/>
      </c>
      <c r="V26" s="95"/>
      <c r="W26" s="87" t="str">
        <f ca="1">IFERROR(IF(C26&lt;&gt;"",IF($W$10="IST",SUMIF(INDIRECT("'"&amp;$W$11&amp;"'!"&amp;$H$7),C26,INDIRECT("'"&amp;$W$11&amp;"'!"&amp;$K$7))),""),"")</f>
        <v/>
      </c>
      <c r="X26" s="94"/>
      <c r="Y26" s="57" t="str">
        <f ca="1">IFERROR(IF(C26&lt;&gt;"",IF($Y$10="IST",SUMIF(INDIRECT("'"&amp;$Y$11&amp;"'!"&amp;$H$7),C26,INDIRECT("'"&amp;$Y$11&amp;"'!"&amp;$K$7))),""),"")</f>
        <v/>
      </c>
      <c r="Z26" s="95"/>
      <c r="AA26" s="87" t="str">
        <f ca="1">IFERROR(IF(C26&lt;&gt;"",IF($AA$10="IST",SUMIF(INDIRECT("'"&amp;$AA$11&amp;"'!"&amp;$H$7),C26,INDIRECT("'"&amp;$AA$11&amp;"'!"&amp;$K$7))),""),"")</f>
        <v/>
      </c>
      <c r="AB26" s="94"/>
      <c r="AC26" s="57" t="str">
        <f ca="1">IFERROR(IF(C26&lt;&gt;"",IF($AC$10="IST",SUMIF(INDIRECT("'"&amp;$AC$11&amp;"'!"&amp;$H$7),C26,INDIRECT("'"&amp;$AC$11&amp;"'!"&amp;$K$7))),""),"")</f>
        <v/>
      </c>
      <c r="AD26" s="95"/>
      <c r="AE26" s="87" t="str">
        <f ca="1">IFERROR(IF(C26&lt;&gt;"",IF($AE$10="IST",SUMIF(INDIRECT("'"&amp;$AE$11&amp;"'!"&amp;$H$7),C26,INDIRECT("'"&amp;$AE$11&amp;"'!"&amp;$K$7))),""),"")</f>
        <v/>
      </c>
      <c r="AF26" s="94"/>
      <c r="AG26" s="57" t="str">
        <f ca="1">IFERROR(IF(C26&lt;&gt;"",IF($AG$10="IST",SUMIF(INDIRECT("'"&amp;$AG$11&amp;"'!"&amp;$H$7),C26,INDIRECT("'"&amp;$AG$11&amp;"'!"&amp;$K$7))),""),"")</f>
        <v/>
      </c>
      <c r="AH26" s="95"/>
      <c r="AI26" s="87" t="str">
        <f ca="1">IFERROR(IF(C26&lt;&gt;"",IF($AI$10="IST",SUMIF(INDIRECT("'"&amp;$AI$11&amp;"'!"&amp;$H$7),C26,INDIRECT("'"&amp;$AI$11&amp;"'!"&amp;$K$7))),""),"")</f>
        <v/>
      </c>
      <c r="AJ26" s="94"/>
      <c r="AK26" s="57" t="str">
        <f ca="1">IFERROR(IF(C26&lt;&gt;"",IF($AK$10="IST",SUMIF(INDIRECT("'"&amp;$AK$11&amp;"'!"&amp;$H$7),C26,INDIRECT("'"&amp;$AK$11&amp;"'!"&amp;$K$7))),""),"")</f>
        <v/>
      </c>
    </row>
    <row r="27" spans="1:37" x14ac:dyDescent="0.25">
      <c r="A27" s="29"/>
      <c r="B27" s="100"/>
      <c r="C27" s="101"/>
      <c r="D27" s="102"/>
      <c r="E27" s="102"/>
      <c r="F27" s="102"/>
      <c r="G27" s="102"/>
      <c r="H27" s="56" t="str">
        <f t="shared" si="24"/>
        <v/>
      </c>
      <c r="I27" s="56" t="str">
        <f>IF(C27="","",SUMIF($N$10:$AK$10,$I$11,N27:AK27))</f>
        <v/>
      </c>
      <c r="J27" s="56" t="str">
        <f t="shared" ca="1" si="25"/>
        <v/>
      </c>
      <c r="K27" s="56" t="str">
        <f>IF(C27="","",SUMIF($O$10:$AA$10,$K$11,O27:AA27))</f>
        <v/>
      </c>
      <c r="L27" s="57" t="str">
        <f>IF(C27="","",J27+K27)</f>
        <v/>
      </c>
      <c r="M27" s="30"/>
      <c r="N27" s="94"/>
      <c r="O27" s="87" t="str">
        <f ca="1">IFERROR(IF(C27&lt;&gt;"",IF($O$10="IST",SUMIF(INDIRECT("'"&amp;$O$11&amp;"'!"&amp;$H$7),C27,INDIRECT("'"&amp;$O$11&amp;"'!"&amp;$K$7))),""),"")</f>
        <v/>
      </c>
      <c r="P27" s="94"/>
      <c r="Q27" s="57" t="str">
        <f ca="1">IFERROR(IF(C27&lt;&gt;"",IF($Q$10="IST",SUMIF(INDIRECT("'"&amp;$Q$11&amp;"'!"&amp;$H$7),C27,INDIRECT("'"&amp;$Q$11&amp;"'!"&amp;$K$7))),""),"")</f>
        <v/>
      </c>
      <c r="R27" s="95"/>
      <c r="S27" s="87" t="str">
        <f ca="1">IFERROR(IF(C27&lt;&gt;"",IF($S$10="IST",SUMIF(INDIRECT("'"&amp;$S$11&amp;"'!"&amp;$H$7),C27,INDIRECT("'"&amp;$S$11&amp;"'!"&amp;$K$7))),""),"")</f>
        <v/>
      </c>
      <c r="T27" s="94"/>
      <c r="U27" s="57" t="str">
        <f ca="1">IFERROR(IF(C27&lt;&gt;"",IF($U$10="IST",SUMIF(INDIRECT("'"&amp;$U$11&amp;"'!"&amp;$H$7),C27,INDIRECT("'"&amp;$U$11&amp;"'!"&amp;$K$7))),""),"")</f>
        <v/>
      </c>
      <c r="V27" s="95"/>
      <c r="W27" s="87" t="str">
        <f ca="1">IFERROR(IF(C27&lt;&gt;"",IF($W$10="IST",SUMIF(INDIRECT("'"&amp;$W$11&amp;"'!"&amp;$H$7),C27,INDIRECT("'"&amp;$W$11&amp;"'!"&amp;$K$7))),""),"")</f>
        <v/>
      </c>
      <c r="X27" s="94"/>
      <c r="Y27" s="57" t="str">
        <f ca="1">IFERROR(IF(C27&lt;&gt;"",IF($Y$10="IST",SUMIF(INDIRECT("'"&amp;$Y$11&amp;"'!"&amp;$H$7),C27,INDIRECT("'"&amp;$Y$11&amp;"'!"&amp;$K$7))),""),"")</f>
        <v/>
      </c>
      <c r="Z27" s="95"/>
      <c r="AA27" s="87" t="str">
        <f ca="1">IFERROR(IF(C27&lt;&gt;"",IF($AA$10="IST",SUMIF(INDIRECT("'"&amp;$AA$11&amp;"'!"&amp;$H$7),C27,INDIRECT("'"&amp;$AA$11&amp;"'!"&amp;$K$7))),""),"")</f>
        <v/>
      </c>
      <c r="AB27" s="94"/>
      <c r="AC27" s="57" t="str">
        <f ca="1">IFERROR(IF(C27&lt;&gt;"",IF($AC$10="IST",SUMIF(INDIRECT("'"&amp;$AC$11&amp;"'!"&amp;$H$7),C27,INDIRECT("'"&amp;$AC$11&amp;"'!"&amp;$K$7))),""),"")</f>
        <v/>
      </c>
      <c r="AD27" s="95"/>
      <c r="AE27" s="87" t="str">
        <f ca="1">IFERROR(IF(C27&lt;&gt;"",IF($AE$10="IST",SUMIF(INDIRECT("'"&amp;$AE$11&amp;"'!"&amp;$H$7),C27,INDIRECT("'"&amp;$AE$11&amp;"'!"&amp;$K$7))),""),"")</f>
        <v/>
      </c>
      <c r="AF27" s="94"/>
      <c r="AG27" s="57" t="str">
        <f ca="1">IFERROR(IF(C27&lt;&gt;"",IF($AG$10="IST",SUMIF(INDIRECT("'"&amp;$AG$11&amp;"'!"&amp;$H$7),C27,INDIRECT("'"&amp;$AG$11&amp;"'!"&amp;$K$7))),""),"")</f>
        <v/>
      </c>
      <c r="AH27" s="95"/>
      <c r="AI27" s="87" t="str">
        <f ca="1">IFERROR(IF(C27&lt;&gt;"",IF($AI$10="IST",SUMIF(INDIRECT("'"&amp;$AI$11&amp;"'!"&amp;$H$7),C27,INDIRECT("'"&amp;$AI$11&amp;"'!"&amp;$K$7))),""),"")</f>
        <v/>
      </c>
      <c r="AJ27" s="94"/>
      <c r="AK27" s="57" t="str">
        <f ca="1">IFERROR(IF(C27&lt;&gt;"",IF($AK$10="IST",SUMIF(INDIRECT("'"&amp;$AK$11&amp;"'!"&amp;$H$7),C27,INDIRECT("'"&amp;$AK$11&amp;"'!"&amp;$K$7))),""),"")</f>
        <v/>
      </c>
    </row>
    <row r="28" spans="1:37" x14ac:dyDescent="0.25">
      <c r="A28" s="29"/>
      <c r="B28" s="100"/>
      <c r="C28" s="101"/>
      <c r="D28" s="102"/>
      <c r="E28" s="102"/>
      <c r="F28" s="102"/>
      <c r="G28" s="102"/>
      <c r="H28" s="56" t="str">
        <f t="shared" si="24"/>
        <v/>
      </c>
      <c r="I28" s="56" t="str">
        <f>IF(C28="","",SUMIF($N$10:$AK$10,$I$11,N28:AK28))</f>
        <v/>
      </c>
      <c r="J28" s="56" t="str">
        <f t="shared" ca="1" si="25"/>
        <v/>
      </c>
      <c r="K28" s="56" t="str">
        <f>IF(C28="","",SUMIF($O$10:$AA$10,$K$11,O28:AA28))</f>
        <v/>
      </c>
      <c r="L28" s="57" t="str">
        <f>IF(C28="","",J28+K28)</f>
        <v/>
      </c>
      <c r="M28" s="30"/>
      <c r="N28" s="94"/>
      <c r="O28" s="87" t="str">
        <f ca="1">IFERROR(IF(C28&lt;&gt;"",IF($O$10="IST",SUMIF(INDIRECT("'"&amp;$O$11&amp;"'!"&amp;$H$7),C28,INDIRECT("'"&amp;$O$11&amp;"'!"&amp;$K$7))),""),"")</f>
        <v/>
      </c>
      <c r="P28" s="94"/>
      <c r="Q28" s="57" t="str">
        <f ca="1">IFERROR(IF(C28&lt;&gt;"",IF($Q$10="IST",SUMIF(INDIRECT("'"&amp;$Q$11&amp;"'!"&amp;$H$7),C28,INDIRECT("'"&amp;$Q$11&amp;"'!"&amp;$K$7))),""),"")</f>
        <v/>
      </c>
      <c r="R28" s="95"/>
      <c r="S28" s="87" t="str">
        <f ca="1">IFERROR(IF(C28&lt;&gt;"",IF($S$10="IST",SUMIF(INDIRECT("'"&amp;$S$11&amp;"'!"&amp;$H$7),C28,INDIRECT("'"&amp;$S$11&amp;"'!"&amp;$K$7))),""),"")</f>
        <v/>
      </c>
      <c r="T28" s="94"/>
      <c r="U28" s="57" t="str">
        <f ca="1">IFERROR(IF(C28&lt;&gt;"",IF($U$10="IST",SUMIF(INDIRECT("'"&amp;$U$11&amp;"'!"&amp;$H$7),C28,INDIRECT("'"&amp;$U$11&amp;"'!"&amp;$K$7))),""),"")</f>
        <v/>
      </c>
      <c r="V28" s="95"/>
      <c r="W28" s="87" t="str">
        <f ca="1">IFERROR(IF(C28&lt;&gt;"",IF($W$10="IST",SUMIF(INDIRECT("'"&amp;$W$11&amp;"'!"&amp;$H$7),C28,INDIRECT("'"&amp;$W$11&amp;"'!"&amp;$K$7))),""),"")</f>
        <v/>
      </c>
      <c r="X28" s="94"/>
      <c r="Y28" s="57" t="str">
        <f ca="1">IFERROR(IF(C28&lt;&gt;"",IF($Y$10="IST",SUMIF(INDIRECT("'"&amp;$Y$11&amp;"'!"&amp;$H$7),C28,INDIRECT("'"&amp;$Y$11&amp;"'!"&amp;$K$7))),""),"")</f>
        <v/>
      </c>
      <c r="Z28" s="95"/>
      <c r="AA28" s="87" t="str">
        <f ca="1">IFERROR(IF(C28&lt;&gt;"",IF($AA$10="IST",SUMIF(INDIRECT("'"&amp;$AA$11&amp;"'!"&amp;$H$7),C28,INDIRECT("'"&amp;$AA$11&amp;"'!"&amp;$K$7))),""),"")</f>
        <v/>
      </c>
      <c r="AB28" s="94"/>
      <c r="AC28" s="57" t="str">
        <f ca="1">IFERROR(IF(C28&lt;&gt;"",IF($AC$10="IST",SUMIF(INDIRECT("'"&amp;$AC$11&amp;"'!"&amp;$H$7),C28,INDIRECT("'"&amp;$AC$11&amp;"'!"&amp;$K$7))),""),"")</f>
        <v/>
      </c>
      <c r="AD28" s="95"/>
      <c r="AE28" s="87" t="str">
        <f ca="1">IFERROR(IF(C28&lt;&gt;"",IF($AE$10="IST",SUMIF(INDIRECT("'"&amp;$AE$11&amp;"'!"&amp;$H$7),C28,INDIRECT("'"&amp;$AE$11&amp;"'!"&amp;$K$7))),""),"")</f>
        <v/>
      </c>
      <c r="AF28" s="94"/>
      <c r="AG28" s="57" t="str">
        <f ca="1">IFERROR(IF(C28&lt;&gt;"",IF($AG$10="IST",SUMIF(INDIRECT("'"&amp;$AG$11&amp;"'!"&amp;$H$7),C28,INDIRECT("'"&amp;$AG$11&amp;"'!"&amp;$K$7))),""),"")</f>
        <v/>
      </c>
      <c r="AH28" s="95"/>
      <c r="AI28" s="87" t="str">
        <f ca="1">IFERROR(IF(C28&lt;&gt;"",IF($AI$10="IST",SUMIF(INDIRECT("'"&amp;$AI$11&amp;"'!"&amp;$H$7),C28,INDIRECT("'"&amp;$AI$11&amp;"'!"&amp;$K$7))),""),"")</f>
        <v/>
      </c>
      <c r="AJ28" s="94"/>
      <c r="AK28" s="57" t="str">
        <f ca="1">IFERROR(IF(C28&lt;&gt;"",IF($AK$10="IST",SUMIF(INDIRECT("'"&amp;$AK$11&amp;"'!"&amp;$H$7),C28,INDIRECT("'"&amp;$AK$11&amp;"'!"&amp;$K$7))),""),"")</f>
        <v/>
      </c>
    </row>
    <row r="29" spans="1:37" x14ac:dyDescent="0.25">
      <c r="A29" s="29"/>
      <c r="B29" s="100"/>
      <c r="C29" s="101"/>
      <c r="D29" s="102"/>
      <c r="E29" s="102"/>
      <c r="F29" s="102"/>
      <c r="G29" s="102"/>
      <c r="H29" s="56" t="str">
        <f t="shared" si="24"/>
        <v/>
      </c>
      <c r="I29" s="56" t="str">
        <f>IF(C29="","",SUMIF($N$10:$AK$10,$I$11,N29:AK29))</f>
        <v/>
      </c>
      <c r="J29" s="56" t="str">
        <f t="shared" ca="1" si="25"/>
        <v/>
      </c>
      <c r="K29" s="56" t="str">
        <f>IF(C29="","",SUMIF($O$10:$AA$10,$K$11,O29:AA29))</f>
        <v/>
      </c>
      <c r="L29" s="57" t="str">
        <f>IF(C29="","",J29+K29)</f>
        <v/>
      </c>
      <c r="M29" s="30"/>
      <c r="N29" s="94"/>
      <c r="O29" s="87" t="str">
        <f ca="1">IFERROR(IF(C29&lt;&gt;"",IF($O$10="IST",SUMIF(INDIRECT("'"&amp;$O$11&amp;"'!"&amp;$H$7),C29,INDIRECT("'"&amp;$O$11&amp;"'!"&amp;$K$7))),""),"")</f>
        <v/>
      </c>
      <c r="P29" s="94"/>
      <c r="Q29" s="57" t="str">
        <f ca="1">IFERROR(IF(C29&lt;&gt;"",IF($Q$10="IST",SUMIF(INDIRECT("'"&amp;$Q$11&amp;"'!"&amp;$H$7),C29,INDIRECT("'"&amp;$Q$11&amp;"'!"&amp;$K$7))),""),"")</f>
        <v/>
      </c>
      <c r="R29" s="95"/>
      <c r="S29" s="87" t="str">
        <f ca="1">IFERROR(IF(C29&lt;&gt;"",IF($S$10="IST",SUMIF(INDIRECT("'"&amp;$S$11&amp;"'!"&amp;$H$7),C29,INDIRECT("'"&amp;$S$11&amp;"'!"&amp;$K$7))),""),"")</f>
        <v/>
      </c>
      <c r="T29" s="94"/>
      <c r="U29" s="57" t="str">
        <f ca="1">IFERROR(IF(C29&lt;&gt;"",IF($U$10="IST",SUMIF(INDIRECT("'"&amp;$U$11&amp;"'!"&amp;$H$7),C29,INDIRECT("'"&amp;$U$11&amp;"'!"&amp;$K$7))),""),"")</f>
        <v/>
      </c>
      <c r="V29" s="95"/>
      <c r="W29" s="87" t="str">
        <f ca="1">IFERROR(IF(C29&lt;&gt;"",IF($W$10="IST",SUMIF(INDIRECT("'"&amp;$W$11&amp;"'!"&amp;$H$7),C29,INDIRECT("'"&amp;$W$11&amp;"'!"&amp;$K$7))),""),"")</f>
        <v/>
      </c>
      <c r="X29" s="94"/>
      <c r="Y29" s="57" t="str">
        <f ca="1">IFERROR(IF(C29&lt;&gt;"",IF($Y$10="IST",SUMIF(INDIRECT("'"&amp;$Y$11&amp;"'!"&amp;$H$7),C29,INDIRECT("'"&amp;$Y$11&amp;"'!"&amp;$K$7))),""),"")</f>
        <v/>
      </c>
      <c r="Z29" s="95"/>
      <c r="AA29" s="87" t="str">
        <f ca="1">IFERROR(IF(C29&lt;&gt;"",IF($AA$10="IST",SUMIF(INDIRECT("'"&amp;$AA$11&amp;"'!"&amp;$H$7),C29,INDIRECT("'"&amp;$AA$11&amp;"'!"&amp;$K$7))),""),"")</f>
        <v/>
      </c>
      <c r="AB29" s="94"/>
      <c r="AC29" s="57" t="str">
        <f ca="1">IFERROR(IF(C29&lt;&gt;"",IF($AC$10="IST",SUMIF(INDIRECT("'"&amp;$AC$11&amp;"'!"&amp;$H$7),C29,INDIRECT("'"&amp;$AC$11&amp;"'!"&amp;$K$7))),""),"")</f>
        <v/>
      </c>
      <c r="AD29" s="95"/>
      <c r="AE29" s="87" t="str">
        <f ca="1">IFERROR(IF(C29&lt;&gt;"",IF($AE$10="IST",SUMIF(INDIRECT("'"&amp;$AE$11&amp;"'!"&amp;$H$7),C29,INDIRECT("'"&amp;$AE$11&amp;"'!"&amp;$K$7))),""),"")</f>
        <v/>
      </c>
      <c r="AF29" s="94"/>
      <c r="AG29" s="57" t="str">
        <f ca="1">IFERROR(IF(C29&lt;&gt;"",IF($AG$10="IST",SUMIF(INDIRECT("'"&amp;$AG$11&amp;"'!"&amp;$H$7),C29,INDIRECT("'"&amp;$AG$11&amp;"'!"&amp;$K$7))),""),"")</f>
        <v/>
      </c>
      <c r="AH29" s="95"/>
      <c r="AI29" s="87" t="str">
        <f ca="1">IFERROR(IF(C29&lt;&gt;"",IF($AI$10="IST",SUMIF(INDIRECT("'"&amp;$AI$11&amp;"'!"&amp;$H$7),C29,INDIRECT("'"&amp;$AI$11&amp;"'!"&amp;$K$7))),""),"")</f>
        <v/>
      </c>
      <c r="AJ29" s="94"/>
      <c r="AK29" s="57" t="str">
        <f ca="1">IFERROR(IF(C29&lt;&gt;"",IF($AK$10="IST",SUMIF(INDIRECT("'"&amp;$AK$11&amp;"'!"&amp;$H$7),C29,INDIRECT("'"&amp;$AK$11&amp;"'!"&amp;$K$7))),""),"")</f>
        <v/>
      </c>
    </row>
    <row r="30" spans="1:37" x14ac:dyDescent="0.25">
      <c r="A30" s="29"/>
      <c r="B30" s="100"/>
      <c r="C30" s="101"/>
      <c r="D30" s="102"/>
      <c r="E30" s="102"/>
      <c r="F30" s="102"/>
      <c r="G30" s="102"/>
      <c r="H30" s="56" t="str">
        <f t="shared" si="24"/>
        <v/>
      </c>
      <c r="I30" s="56" t="str">
        <f>IF(C30="","",SUMIF($N$10:$AK$10,$I$11,N30:AK30))</f>
        <v/>
      </c>
      <c r="J30" s="56" t="str">
        <f t="shared" ca="1" si="25"/>
        <v/>
      </c>
      <c r="K30" s="56" t="str">
        <f>IF(C30="","",SUMIF($O$10:$AA$10,$K$11,O30:AA30))</f>
        <v/>
      </c>
      <c r="L30" s="57" t="str">
        <f>IF(C30="","",J30+K30)</f>
        <v/>
      </c>
      <c r="M30" s="30"/>
      <c r="N30" s="94"/>
      <c r="O30" s="87" t="str">
        <f ca="1">IFERROR(IF(C30&lt;&gt;"",IF($O$10="IST",SUMIF(INDIRECT("'"&amp;$O$11&amp;"'!"&amp;$H$7),C30,INDIRECT("'"&amp;$O$11&amp;"'!"&amp;$K$7))),""),"")</f>
        <v/>
      </c>
      <c r="P30" s="94"/>
      <c r="Q30" s="57" t="str">
        <f ca="1">IFERROR(IF(C30&lt;&gt;"",IF($Q$10="IST",SUMIF(INDIRECT("'"&amp;$Q$11&amp;"'!"&amp;$H$7),C30,INDIRECT("'"&amp;$Q$11&amp;"'!"&amp;$K$7))),""),"")</f>
        <v/>
      </c>
      <c r="R30" s="95"/>
      <c r="S30" s="87" t="str">
        <f ca="1">IFERROR(IF(C30&lt;&gt;"",IF($S$10="IST",SUMIF(INDIRECT("'"&amp;$S$11&amp;"'!"&amp;$H$7),C30,INDIRECT("'"&amp;$S$11&amp;"'!"&amp;$K$7))),""),"")</f>
        <v/>
      </c>
      <c r="T30" s="94"/>
      <c r="U30" s="57" t="str">
        <f ca="1">IFERROR(IF(C30&lt;&gt;"",IF($U$10="IST",SUMIF(INDIRECT("'"&amp;$U$11&amp;"'!"&amp;$H$7),C30,INDIRECT("'"&amp;$U$11&amp;"'!"&amp;$K$7))),""),"")</f>
        <v/>
      </c>
      <c r="V30" s="95"/>
      <c r="W30" s="87" t="str">
        <f ca="1">IFERROR(IF(C30&lt;&gt;"",IF($W$10="IST",SUMIF(INDIRECT("'"&amp;$W$11&amp;"'!"&amp;$H$7),C30,INDIRECT("'"&amp;$W$11&amp;"'!"&amp;$K$7))),""),"")</f>
        <v/>
      </c>
      <c r="X30" s="94"/>
      <c r="Y30" s="57" t="str">
        <f ca="1">IFERROR(IF(C30&lt;&gt;"",IF($Y$10="IST",SUMIF(INDIRECT("'"&amp;$Y$11&amp;"'!"&amp;$H$7),C30,INDIRECT("'"&amp;$Y$11&amp;"'!"&amp;$K$7))),""),"")</f>
        <v/>
      </c>
      <c r="Z30" s="95"/>
      <c r="AA30" s="87" t="str">
        <f ca="1">IFERROR(IF(C30&lt;&gt;"",IF($AA$10="IST",SUMIF(INDIRECT("'"&amp;$AA$11&amp;"'!"&amp;$H$7),C30,INDIRECT("'"&amp;$AA$11&amp;"'!"&amp;$K$7))),""),"")</f>
        <v/>
      </c>
      <c r="AB30" s="94"/>
      <c r="AC30" s="57" t="str">
        <f ca="1">IFERROR(IF(C30&lt;&gt;"",IF($AC$10="IST",SUMIF(INDIRECT("'"&amp;$AC$11&amp;"'!"&amp;$H$7),C30,INDIRECT("'"&amp;$AC$11&amp;"'!"&amp;$K$7))),""),"")</f>
        <v/>
      </c>
      <c r="AD30" s="95"/>
      <c r="AE30" s="87" t="str">
        <f ca="1">IFERROR(IF(C30&lt;&gt;"",IF($AE$10="IST",SUMIF(INDIRECT("'"&amp;$AE$11&amp;"'!"&amp;$H$7),C30,INDIRECT("'"&amp;$AE$11&amp;"'!"&amp;$K$7))),""),"")</f>
        <v/>
      </c>
      <c r="AF30" s="94"/>
      <c r="AG30" s="57" t="str">
        <f ca="1">IFERROR(IF(C30&lt;&gt;"",IF($AG$10="IST",SUMIF(INDIRECT("'"&amp;$AG$11&amp;"'!"&amp;$H$7),C30,INDIRECT("'"&amp;$AG$11&amp;"'!"&amp;$K$7))),""),"")</f>
        <v/>
      </c>
      <c r="AH30" s="95"/>
      <c r="AI30" s="87" t="str">
        <f ca="1">IFERROR(IF(C30&lt;&gt;"",IF($AI$10="IST",SUMIF(INDIRECT("'"&amp;$AI$11&amp;"'!"&amp;$H$7),C30,INDIRECT("'"&amp;$AI$11&amp;"'!"&amp;$K$7))),""),"")</f>
        <v/>
      </c>
      <c r="AJ30" s="94"/>
      <c r="AK30" s="57" t="str">
        <f ca="1">IFERROR(IF(C30&lt;&gt;"",IF($AK$10="IST",SUMIF(INDIRECT("'"&amp;$AK$11&amp;"'!"&amp;$H$7),C30,INDIRECT("'"&amp;$AK$11&amp;"'!"&amp;$K$7))),""),"")</f>
        <v/>
      </c>
    </row>
    <row r="31" spans="1:37" x14ac:dyDescent="0.25">
      <c r="A31" s="29"/>
      <c r="B31" s="100"/>
      <c r="C31" s="101"/>
      <c r="D31" s="102"/>
      <c r="E31" s="102"/>
      <c r="F31" s="102"/>
      <c r="G31" s="102"/>
      <c r="H31" s="56" t="str">
        <f t="shared" si="24"/>
        <v/>
      </c>
      <c r="I31" s="56" t="str">
        <f>IF(C31="","",SUMIF($N$10:$AK$10,$I$11,N31:AK31))</f>
        <v/>
      </c>
      <c r="J31" s="56" t="str">
        <f t="shared" ca="1" si="25"/>
        <v/>
      </c>
      <c r="K31" s="56" t="str">
        <f>IF(C31="","",SUMIF($O$10:$AA$10,$K$11,O31:AA31))</f>
        <v/>
      </c>
      <c r="L31" s="57" t="str">
        <f>IF(C31="","",J31+K31)</f>
        <v/>
      </c>
      <c r="M31" s="30"/>
      <c r="N31" s="94"/>
      <c r="O31" s="87" t="str">
        <f ca="1">IFERROR(IF(C31&lt;&gt;"",IF($O$10="IST",SUMIF(INDIRECT("'"&amp;$O$11&amp;"'!"&amp;$H$7),C31,INDIRECT("'"&amp;$O$11&amp;"'!"&amp;$K$7))),""),"")</f>
        <v/>
      </c>
      <c r="P31" s="94"/>
      <c r="Q31" s="57" t="str">
        <f ca="1">IFERROR(IF(C31&lt;&gt;"",IF($Q$10="IST",SUMIF(INDIRECT("'"&amp;$Q$11&amp;"'!"&amp;$H$7),C31,INDIRECT("'"&amp;$Q$11&amp;"'!"&amp;$K$7))),""),"")</f>
        <v/>
      </c>
      <c r="R31" s="95"/>
      <c r="S31" s="87" t="str">
        <f ca="1">IFERROR(IF(C31&lt;&gt;"",IF($S$10="IST",SUMIF(INDIRECT("'"&amp;$S$11&amp;"'!"&amp;$H$7),C31,INDIRECT("'"&amp;$S$11&amp;"'!"&amp;$K$7))),""),"")</f>
        <v/>
      </c>
      <c r="T31" s="94"/>
      <c r="U31" s="57" t="str">
        <f ca="1">IFERROR(IF(C31&lt;&gt;"",IF($U$10="IST",SUMIF(INDIRECT("'"&amp;$U$11&amp;"'!"&amp;$H$7),C31,INDIRECT("'"&amp;$U$11&amp;"'!"&amp;$K$7))),""),"")</f>
        <v/>
      </c>
      <c r="V31" s="95"/>
      <c r="W31" s="87" t="str">
        <f ca="1">IFERROR(IF(C31&lt;&gt;"",IF($W$10="IST",SUMIF(INDIRECT("'"&amp;$W$11&amp;"'!"&amp;$H$7),C31,INDIRECT("'"&amp;$W$11&amp;"'!"&amp;$K$7))),""),"")</f>
        <v/>
      </c>
      <c r="X31" s="94"/>
      <c r="Y31" s="57" t="str">
        <f ca="1">IFERROR(IF(C31&lt;&gt;"",IF($Y$10="IST",SUMIF(INDIRECT("'"&amp;$Y$11&amp;"'!"&amp;$H$7),C31,INDIRECT("'"&amp;$Y$11&amp;"'!"&amp;$K$7))),""),"")</f>
        <v/>
      </c>
      <c r="Z31" s="95"/>
      <c r="AA31" s="87" t="str">
        <f ca="1">IFERROR(IF(C31&lt;&gt;"",IF($AA$10="IST",SUMIF(INDIRECT("'"&amp;$AA$11&amp;"'!"&amp;$H$7),C31,INDIRECT("'"&amp;$AA$11&amp;"'!"&amp;$K$7))),""),"")</f>
        <v/>
      </c>
      <c r="AB31" s="94"/>
      <c r="AC31" s="57" t="str">
        <f ca="1">IFERROR(IF(C31&lt;&gt;"",IF($AC$10="IST",SUMIF(INDIRECT("'"&amp;$AC$11&amp;"'!"&amp;$H$7),C31,INDIRECT("'"&amp;$AC$11&amp;"'!"&amp;$K$7))),""),"")</f>
        <v/>
      </c>
      <c r="AD31" s="95"/>
      <c r="AE31" s="87" t="str">
        <f ca="1">IFERROR(IF(C31&lt;&gt;"",IF($AE$10="IST",SUMIF(INDIRECT("'"&amp;$AE$11&amp;"'!"&amp;$H$7),C31,INDIRECT("'"&amp;$AE$11&amp;"'!"&amp;$K$7))),""),"")</f>
        <v/>
      </c>
      <c r="AF31" s="94"/>
      <c r="AG31" s="57" t="str">
        <f ca="1">IFERROR(IF(C31&lt;&gt;"",IF($AG$10="IST",SUMIF(INDIRECT("'"&amp;$AG$11&amp;"'!"&amp;$H$7),C31,INDIRECT("'"&amp;$AG$11&amp;"'!"&amp;$K$7))),""),"")</f>
        <v/>
      </c>
      <c r="AH31" s="95"/>
      <c r="AI31" s="87" t="str">
        <f ca="1">IFERROR(IF(C31&lt;&gt;"",IF($AI$10="IST",SUMIF(INDIRECT("'"&amp;$AI$11&amp;"'!"&amp;$H$7),C31,INDIRECT("'"&amp;$AI$11&amp;"'!"&amp;$K$7))),""),"")</f>
        <v/>
      </c>
      <c r="AJ31" s="94"/>
      <c r="AK31" s="57" t="str">
        <f ca="1">IFERROR(IF(C31&lt;&gt;"",IF($AK$10="IST",SUMIF(INDIRECT("'"&amp;$AK$11&amp;"'!"&amp;$H$7),C31,INDIRECT("'"&amp;$AK$11&amp;"'!"&amp;$K$7))),""),"")</f>
        <v/>
      </c>
    </row>
    <row r="32" spans="1:37" x14ac:dyDescent="0.25">
      <c r="A32" s="29"/>
      <c r="B32" s="100"/>
      <c r="C32" s="101"/>
      <c r="D32" s="102"/>
      <c r="E32" s="102"/>
      <c r="F32" s="102"/>
      <c r="G32" s="102"/>
      <c r="H32" s="56" t="str">
        <f t="shared" si="24"/>
        <v/>
      </c>
      <c r="I32" s="56" t="str">
        <f>IF(C32="","",SUMIF($N$10:$AK$10,$I$11,N32:AK32))</f>
        <v/>
      </c>
      <c r="J32" s="56" t="str">
        <f t="shared" ca="1" si="25"/>
        <v/>
      </c>
      <c r="K32" s="56" t="str">
        <f>IF(C32="","",SUMIF($O$10:$AA$10,$K$11,O32:AA32))</f>
        <v/>
      </c>
      <c r="L32" s="57" t="str">
        <f>IF(C32="","",J32+K32)</f>
        <v/>
      </c>
      <c r="M32" s="30"/>
      <c r="N32" s="94"/>
      <c r="O32" s="87" t="str">
        <f ca="1">IFERROR(IF(C32&lt;&gt;"",IF($O$10="IST",SUMIF(INDIRECT("'"&amp;$O$11&amp;"'!"&amp;$H$7),C32,INDIRECT("'"&amp;$O$11&amp;"'!"&amp;$K$7))),""),"")</f>
        <v/>
      </c>
      <c r="P32" s="94"/>
      <c r="Q32" s="57" t="str">
        <f ca="1">IFERROR(IF(C32&lt;&gt;"",IF($Q$10="IST",SUMIF(INDIRECT("'"&amp;$Q$11&amp;"'!"&amp;$H$7),C32,INDIRECT("'"&amp;$Q$11&amp;"'!"&amp;$K$7))),""),"")</f>
        <v/>
      </c>
      <c r="R32" s="95"/>
      <c r="S32" s="87" t="str">
        <f ca="1">IFERROR(IF(C32&lt;&gt;"",IF($S$10="IST",SUMIF(INDIRECT("'"&amp;$S$11&amp;"'!"&amp;$H$7),C32,INDIRECT("'"&amp;$S$11&amp;"'!"&amp;$K$7))),""),"")</f>
        <v/>
      </c>
      <c r="T32" s="94"/>
      <c r="U32" s="57" t="str">
        <f ca="1">IFERROR(IF(C32&lt;&gt;"",IF($U$10="IST",SUMIF(INDIRECT("'"&amp;$U$11&amp;"'!"&amp;$H$7),C32,INDIRECT("'"&amp;$U$11&amp;"'!"&amp;$K$7))),""),"")</f>
        <v/>
      </c>
      <c r="V32" s="95"/>
      <c r="W32" s="87" t="str">
        <f ca="1">IFERROR(IF(C32&lt;&gt;"",IF($W$10="IST",SUMIF(INDIRECT("'"&amp;$W$11&amp;"'!"&amp;$H$7),C32,INDIRECT("'"&amp;$W$11&amp;"'!"&amp;$K$7))),""),"")</f>
        <v/>
      </c>
      <c r="X32" s="94"/>
      <c r="Y32" s="57" t="str">
        <f ca="1">IFERROR(IF(C32&lt;&gt;"",IF($Y$10="IST",SUMIF(INDIRECT("'"&amp;$Y$11&amp;"'!"&amp;$H$7),C32,INDIRECT("'"&amp;$Y$11&amp;"'!"&amp;$K$7))),""),"")</f>
        <v/>
      </c>
      <c r="Z32" s="95"/>
      <c r="AA32" s="87" t="str">
        <f ca="1">IFERROR(IF(C32&lt;&gt;"",IF($AA$10="IST",SUMIF(INDIRECT("'"&amp;$AA$11&amp;"'!"&amp;$H$7),C32,INDIRECT("'"&amp;$AA$11&amp;"'!"&amp;$K$7))),""),"")</f>
        <v/>
      </c>
      <c r="AB32" s="94"/>
      <c r="AC32" s="57" t="str">
        <f ca="1">IFERROR(IF(C32&lt;&gt;"",IF($AC$10="IST",SUMIF(INDIRECT("'"&amp;$AC$11&amp;"'!"&amp;$H$7),C32,INDIRECT("'"&amp;$AC$11&amp;"'!"&amp;$K$7))),""),"")</f>
        <v/>
      </c>
      <c r="AD32" s="95"/>
      <c r="AE32" s="87" t="str">
        <f ca="1">IFERROR(IF(C32&lt;&gt;"",IF($AE$10="IST",SUMIF(INDIRECT("'"&amp;$AE$11&amp;"'!"&amp;$H$7),C32,INDIRECT("'"&amp;$AE$11&amp;"'!"&amp;$K$7))),""),"")</f>
        <v/>
      </c>
      <c r="AF32" s="94"/>
      <c r="AG32" s="57" t="str">
        <f ca="1">IFERROR(IF(C32&lt;&gt;"",IF($AG$10="IST",SUMIF(INDIRECT("'"&amp;$AG$11&amp;"'!"&amp;$H$7),C32,INDIRECT("'"&amp;$AG$11&amp;"'!"&amp;$K$7))),""),"")</f>
        <v/>
      </c>
      <c r="AH32" s="95"/>
      <c r="AI32" s="87" t="str">
        <f ca="1">IFERROR(IF(C32&lt;&gt;"",IF($AI$10="IST",SUMIF(INDIRECT("'"&amp;$AI$11&amp;"'!"&amp;$H$7),C32,INDIRECT("'"&amp;$AI$11&amp;"'!"&amp;$K$7))),""),"")</f>
        <v/>
      </c>
      <c r="AJ32" s="94"/>
      <c r="AK32" s="57" t="str">
        <f ca="1">IFERROR(IF(C32&lt;&gt;"",IF($AK$10="IST",SUMIF(INDIRECT("'"&amp;$AK$11&amp;"'!"&amp;$H$7),C32,INDIRECT("'"&amp;$AK$11&amp;"'!"&amp;$K$7))),""),"")</f>
        <v/>
      </c>
    </row>
    <row r="33" spans="1:37" x14ac:dyDescent="0.25">
      <c r="A33" s="29"/>
      <c r="B33" s="100"/>
      <c r="C33" s="101"/>
      <c r="D33" s="102"/>
      <c r="E33" s="102"/>
      <c r="F33" s="102"/>
      <c r="G33" s="102"/>
      <c r="H33" s="56" t="str">
        <f t="shared" si="24"/>
        <v/>
      </c>
      <c r="I33" s="56" t="str">
        <f>IF(C33="","",SUMIF($N$10:$AK$10,$I$11,N33:AK33))</f>
        <v/>
      </c>
      <c r="J33" s="56" t="str">
        <f t="shared" ca="1" si="25"/>
        <v/>
      </c>
      <c r="K33" s="56" t="str">
        <f>IF(C33="","",SUMIF($O$10:$AA$10,$K$11,O33:AA33))</f>
        <v/>
      </c>
      <c r="L33" s="57" t="str">
        <f>IF(C33="","",J33+K33)</f>
        <v/>
      </c>
      <c r="M33" s="30"/>
      <c r="N33" s="94"/>
      <c r="O33" s="87" t="str">
        <f ca="1">IFERROR(IF(C33&lt;&gt;"",IF($O$10="IST",SUMIF(INDIRECT("'"&amp;$O$11&amp;"'!"&amp;$H$7),C33,INDIRECT("'"&amp;$O$11&amp;"'!"&amp;$K$7))),""),"")</f>
        <v/>
      </c>
      <c r="P33" s="94"/>
      <c r="Q33" s="57" t="str">
        <f ca="1">IFERROR(IF(C33&lt;&gt;"",IF($Q$10="IST",SUMIF(INDIRECT("'"&amp;$Q$11&amp;"'!"&amp;$H$7),C33,INDIRECT("'"&amp;$Q$11&amp;"'!"&amp;$K$7))),""),"")</f>
        <v/>
      </c>
      <c r="R33" s="95"/>
      <c r="S33" s="87" t="str">
        <f ca="1">IFERROR(IF(C33&lt;&gt;"",IF($S$10="IST",SUMIF(INDIRECT("'"&amp;$S$11&amp;"'!"&amp;$H$7),C33,INDIRECT("'"&amp;$S$11&amp;"'!"&amp;$K$7))),""),"")</f>
        <v/>
      </c>
      <c r="T33" s="94"/>
      <c r="U33" s="57" t="str">
        <f ca="1">IFERROR(IF(C33&lt;&gt;"",IF($U$10="IST",SUMIF(INDIRECT("'"&amp;$U$11&amp;"'!"&amp;$H$7),C33,INDIRECT("'"&amp;$U$11&amp;"'!"&amp;$K$7))),""),"")</f>
        <v/>
      </c>
      <c r="V33" s="95"/>
      <c r="W33" s="87" t="str">
        <f ca="1">IFERROR(IF(C33&lt;&gt;"",IF($W$10="IST",SUMIF(INDIRECT("'"&amp;$W$11&amp;"'!"&amp;$H$7),C33,INDIRECT("'"&amp;$W$11&amp;"'!"&amp;$K$7))),""),"")</f>
        <v/>
      </c>
      <c r="X33" s="94"/>
      <c r="Y33" s="57" t="str">
        <f ca="1">IFERROR(IF(C33&lt;&gt;"",IF($Y$10="IST",SUMIF(INDIRECT("'"&amp;$Y$11&amp;"'!"&amp;$H$7),C33,INDIRECT("'"&amp;$Y$11&amp;"'!"&amp;$K$7))),""),"")</f>
        <v/>
      </c>
      <c r="Z33" s="95"/>
      <c r="AA33" s="87" t="str">
        <f ca="1">IFERROR(IF(C33&lt;&gt;"",IF($AA$10="IST",SUMIF(INDIRECT("'"&amp;$AA$11&amp;"'!"&amp;$H$7),C33,INDIRECT("'"&amp;$AA$11&amp;"'!"&amp;$K$7))),""),"")</f>
        <v/>
      </c>
      <c r="AB33" s="94"/>
      <c r="AC33" s="57" t="str">
        <f ca="1">IFERROR(IF(C33&lt;&gt;"",IF($AC$10="IST",SUMIF(INDIRECT("'"&amp;$AC$11&amp;"'!"&amp;$H$7),C33,INDIRECT("'"&amp;$AC$11&amp;"'!"&amp;$K$7))),""),"")</f>
        <v/>
      </c>
      <c r="AD33" s="95"/>
      <c r="AE33" s="87" t="str">
        <f ca="1">IFERROR(IF(C33&lt;&gt;"",IF($AE$10="IST",SUMIF(INDIRECT("'"&amp;$AE$11&amp;"'!"&amp;$H$7),C33,INDIRECT("'"&amp;$AE$11&amp;"'!"&amp;$K$7))),""),"")</f>
        <v/>
      </c>
      <c r="AF33" s="94"/>
      <c r="AG33" s="57" t="str">
        <f ca="1">IFERROR(IF(C33&lt;&gt;"",IF($AG$10="IST",SUMIF(INDIRECT("'"&amp;$AG$11&amp;"'!"&amp;$H$7),C33,INDIRECT("'"&amp;$AG$11&amp;"'!"&amp;$K$7))),""),"")</f>
        <v/>
      </c>
      <c r="AH33" s="95"/>
      <c r="AI33" s="87" t="str">
        <f ca="1">IFERROR(IF(C33&lt;&gt;"",IF($AI$10="IST",SUMIF(INDIRECT("'"&amp;$AI$11&amp;"'!"&amp;$H$7),C33,INDIRECT("'"&amp;$AI$11&amp;"'!"&amp;$K$7))),""),"")</f>
        <v/>
      </c>
      <c r="AJ33" s="94"/>
      <c r="AK33" s="57" t="str">
        <f ca="1">IFERROR(IF(C33&lt;&gt;"",IF($AK$10="IST",SUMIF(INDIRECT("'"&amp;$AK$11&amp;"'!"&amp;$H$7),C33,INDIRECT("'"&amp;$AK$11&amp;"'!"&amp;$K$7))),""),"")</f>
        <v/>
      </c>
    </row>
    <row r="34" spans="1:37" x14ac:dyDescent="0.25">
      <c r="A34" s="29"/>
      <c r="B34" s="100"/>
      <c r="C34" s="101"/>
      <c r="D34" s="102"/>
      <c r="E34" s="102"/>
      <c r="F34" s="102"/>
      <c r="G34" s="102"/>
      <c r="H34" s="56" t="str">
        <f t="shared" si="24"/>
        <v/>
      </c>
      <c r="I34" s="56" t="str">
        <f>IF(C34="","",SUMIF($N$10:$AK$10,$I$11,N34:AK34))</f>
        <v/>
      </c>
      <c r="J34" s="56" t="str">
        <f t="shared" ca="1" si="25"/>
        <v/>
      </c>
      <c r="K34" s="56" t="str">
        <f>IF(C34="","",SUMIF($O$10:$AA$10,$K$11,O34:AA34))</f>
        <v/>
      </c>
      <c r="L34" s="57" t="str">
        <f>IF(C34="","",J34+K34)</f>
        <v/>
      </c>
      <c r="M34" s="30"/>
      <c r="N34" s="94"/>
      <c r="O34" s="87" t="str">
        <f ca="1">IFERROR(IF(C34&lt;&gt;"",IF($O$10="IST",SUMIF(INDIRECT("'"&amp;$O$11&amp;"'!"&amp;$H$7),C34,INDIRECT("'"&amp;$O$11&amp;"'!"&amp;$K$7))),""),"")</f>
        <v/>
      </c>
      <c r="P34" s="94"/>
      <c r="Q34" s="57" t="str">
        <f ca="1">IFERROR(IF(C34&lt;&gt;"",IF($Q$10="IST",SUMIF(INDIRECT("'"&amp;$Q$11&amp;"'!"&amp;$H$7),C34,INDIRECT("'"&amp;$Q$11&amp;"'!"&amp;$K$7))),""),"")</f>
        <v/>
      </c>
      <c r="R34" s="95"/>
      <c r="S34" s="87" t="str">
        <f ca="1">IFERROR(IF(C34&lt;&gt;"",IF($S$10="IST",SUMIF(INDIRECT("'"&amp;$S$11&amp;"'!"&amp;$H$7),C34,INDIRECT("'"&amp;$S$11&amp;"'!"&amp;$K$7))),""),"")</f>
        <v/>
      </c>
      <c r="T34" s="94"/>
      <c r="U34" s="57" t="str">
        <f ca="1">IFERROR(IF(C34&lt;&gt;"",IF($U$10="IST",SUMIF(INDIRECT("'"&amp;$U$11&amp;"'!"&amp;$H$7),C34,INDIRECT("'"&amp;$U$11&amp;"'!"&amp;$K$7))),""),"")</f>
        <v/>
      </c>
      <c r="V34" s="95"/>
      <c r="W34" s="87" t="str">
        <f ca="1">IFERROR(IF(C34&lt;&gt;"",IF($W$10="IST",SUMIF(INDIRECT("'"&amp;$W$11&amp;"'!"&amp;$H$7),C34,INDIRECT("'"&amp;$W$11&amp;"'!"&amp;$K$7))),""),"")</f>
        <v/>
      </c>
      <c r="X34" s="94"/>
      <c r="Y34" s="57" t="str">
        <f ca="1">IFERROR(IF(C34&lt;&gt;"",IF($Y$10="IST",SUMIF(INDIRECT("'"&amp;$Y$11&amp;"'!"&amp;$H$7),C34,INDIRECT("'"&amp;$Y$11&amp;"'!"&amp;$K$7))),""),"")</f>
        <v/>
      </c>
      <c r="Z34" s="95"/>
      <c r="AA34" s="87" t="str">
        <f ca="1">IFERROR(IF(C34&lt;&gt;"",IF($AA$10="IST",SUMIF(INDIRECT("'"&amp;$AA$11&amp;"'!"&amp;$H$7),C34,INDIRECT("'"&amp;$AA$11&amp;"'!"&amp;$K$7))),""),"")</f>
        <v/>
      </c>
      <c r="AB34" s="94"/>
      <c r="AC34" s="57" t="str">
        <f ca="1">IFERROR(IF(C34&lt;&gt;"",IF($AC$10="IST",SUMIF(INDIRECT("'"&amp;$AC$11&amp;"'!"&amp;$H$7),C34,INDIRECT("'"&amp;$AC$11&amp;"'!"&amp;$K$7))),""),"")</f>
        <v/>
      </c>
      <c r="AD34" s="95"/>
      <c r="AE34" s="87" t="str">
        <f ca="1">IFERROR(IF(C34&lt;&gt;"",IF($AE$10="IST",SUMIF(INDIRECT("'"&amp;$AE$11&amp;"'!"&amp;$H$7),C34,INDIRECT("'"&amp;$AE$11&amp;"'!"&amp;$K$7))),""),"")</f>
        <v/>
      </c>
      <c r="AF34" s="94"/>
      <c r="AG34" s="57" t="str">
        <f ca="1">IFERROR(IF(C34&lt;&gt;"",IF($AG$10="IST",SUMIF(INDIRECT("'"&amp;$AG$11&amp;"'!"&amp;$H$7),C34,INDIRECT("'"&amp;$AG$11&amp;"'!"&amp;$K$7))),""),"")</f>
        <v/>
      </c>
      <c r="AH34" s="95"/>
      <c r="AI34" s="87" t="str">
        <f ca="1">IFERROR(IF(C34&lt;&gt;"",IF($AI$10="IST",SUMIF(INDIRECT("'"&amp;$AI$11&amp;"'!"&amp;$H$7),C34,INDIRECT("'"&amp;$AI$11&amp;"'!"&amp;$K$7))),""),"")</f>
        <v/>
      </c>
      <c r="AJ34" s="94"/>
      <c r="AK34" s="57" t="str">
        <f ca="1">IFERROR(IF(C34&lt;&gt;"",IF($AK$10="IST",SUMIF(INDIRECT("'"&amp;$AK$11&amp;"'!"&amp;$H$7),C34,INDIRECT("'"&amp;$AK$11&amp;"'!"&amp;$K$7))),""),"")</f>
        <v/>
      </c>
    </row>
    <row r="35" spans="1:37" x14ac:dyDescent="0.25">
      <c r="A35" s="29"/>
      <c r="B35" s="100"/>
      <c r="C35" s="101"/>
      <c r="D35" s="102"/>
      <c r="E35" s="102"/>
      <c r="F35" s="102"/>
      <c r="G35" s="102"/>
      <c r="H35" s="56" t="str">
        <f t="shared" si="24"/>
        <v/>
      </c>
      <c r="I35" s="56" t="str">
        <f>IF(C35="","",SUMIF($N$10:$AK$10,$I$11,N35:AK35))</f>
        <v/>
      </c>
      <c r="J35" s="56" t="str">
        <f t="shared" ca="1" si="25"/>
        <v/>
      </c>
      <c r="K35" s="56" t="str">
        <f>IF(C35="","",SUMIF($O$10:$AA$10,$K$11,O35:AA35))</f>
        <v/>
      </c>
      <c r="L35" s="57" t="str">
        <f>IF(C35="","",J35+K35)</f>
        <v/>
      </c>
      <c r="M35" s="30"/>
      <c r="N35" s="94"/>
      <c r="O35" s="87" t="str">
        <f ca="1">IFERROR(IF(C35&lt;&gt;"",IF($O$10="IST",SUMIF(INDIRECT("'"&amp;$O$11&amp;"'!"&amp;$H$7),C35,INDIRECT("'"&amp;$O$11&amp;"'!"&amp;$K$7))),""),"")</f>
        <v/>
      </c>
      <c r="P35" s="94"/>
      <c r="Q35" s="57" t="str">
        <f ca="1">IFERROR(IF(C35&lt;&gt;"",IF($Q$10="IST",SUMIF(INDIRECT("'"&amp;$Q$11&amp;"'!"&amp;$H$7),C35,INDIRECT("'"&amp;$Q$11&amp;"'!"&amp;$K$7))),""),"")</f>
        <v/>
      </c>
      <c r="R35" s="95"/>
      <c r="S35" s="87" t="str">
        <f ca="1">IFERROR(IF(C35&lt;&gt;"",IF($S$10="IST",SUMIF(INDIRECT("'"&amp;$S$11&amp;"'!"&amp;$H$7),C35,INDIRECT("'"&amp;$S$11&amp;"'!"&amp;$K$7))),""),"")</f>
        <v/>
      </c>
      <c r="T35" s="94"/>
      <c r="U35" s="57" t="str">
        <f ca="1">IFERROR(IF(C35&lt;&gt;"",IF($U$10="IST",SUMIF(INDIRECT("'"&amp;$U$11&amp;"'!"&amp;$H$7),C35,INDIRECT("'"&amp;$U$11&amp;"'!"&amp;$K$7))),""),"")</f>
        <v/>
      </c>
      <c r="V35" s="95"/>
      <c r="W35" s="87" t="str">
        <f ca="1">IFERROR(IF(C35&lt;&gt;"",IF($W$10="IST",SUMIF(INDIRECT("'"&amp;$W$11&amp;"'!"&amp;$H$7),C35,INDIRECT("'"&amp;$W$11&amp;"'!"&amp;$K$7))),""),"")</f>
        <v/>
      </c>
      <c r="X35" s="94"/>
      <c r="Y35" s="57" t="str">
        <f ca="1">IFERROR(IF(C35&lt;&gt;"",IF($Y$10="IST",SUMIF(INDIRECT("'"&amp;$Y$11&amp;"'!"&amp;$H$7),C35,INDIRECT("'"&amp;$Y$11&amp;"'!"&amp;$K$7))),""),"")</f>
        <v/>
      </c>
      <c r="Z35" s="95"/>
      <c r="AA35" s="87" t="str">
        <f ca="1">IFERROR(IF(C35&lt;&gt;"",IF($AA$10="IST",SUMIF(INDIRECT("'"&amp;$AA$11&amp;"'!"&amp;$H$7),C35,INDIRECT("'"&amp;$AA$11&amp;"'!"&amp;$K$7))),""),"")</f>
        <v/>
      </c>
      <c r="AB35" s="94"/>
      <c r="AC35" s="57" t="str">
        <f ca="1">IFERROR(IF(C35&lt;&gt;"",IF($AC$10="IST",SUMIF(INDIRECT("'"&amp;$AC$11&amp;"'!"&amp;$H$7),C35,INDIRECT("'"&amp;$AC$11&amp;"'!"&amp;$K$7))),""),"")</f>
        <v/>
      </c>
      <c r="AD35" s="95"/>
      <c r="AE35" s="87" t="str">
        <f ca="1">IFERROR(IF(C35&lt;&gt;"",IF($AE$10="IST",SUMIF(INDIRECT("'"&amp;$AE$11&amp;"'!"&amp;$H$7),C35,INDIRECT("'"&amp;$AE$11&amp;"'!"&amp;$K$7))),""),"")</f>
        <v/>
      </c>
      <c r="AF35" s="94"/>
      <c r="AG35" s="57" t="str">
        <f ca="1">IFERROR(IF(C35&lt;&gt;"",IF($AG$10="IST",SUMIF(INDIRECT("'"&amp;$AG$11&amp;"'!"&amp;$H$7),C35,INDIRECT("'"&amp;$AG$11&amp;"'!"&amp;$K$7))),""),"")</f>
        <v/>
      </c>
      <c r="AH35" s="95"/>
      <c r="AI35" s="87" t="str">
        <f ca="1">IFERROR(IF(C35&lt;&gt;"",IF($AI$10="IST",SUMIF(INDIRECT("'"&amp;$AI$11&amp;"'!"&amp;$H$7),C35,INDIRECT("'"&amp;$AI$11&amp;"'!"&amp;$K$7))),""),"")</f>
        <v/>
      </c>
      <c r="AJ35" s="94"/>
      <c r="AK35" s="57" t="str">
        <f ca="1">IFERROR(IF(C35&lt;&gt;"",IF($AK$10="IST",SUMIF(INDIRECT("'"&amp;$AK$11&amp;"'!"&amp;$H$7),C35,INDIRECT("'"&amp;$AK$11&amp;"'!"&amp;$K$7))),""),"")</f>
        <v/>
      </c>
    </row>
    <row r="36" spans="1:37" x14ac:dyDescent="0.25">
      <c r="A36" s="29"/>
      <c r="B36" s="100"/>
      <c r="C36" s="101"/>
      <c r="D36" s="102"/>
      <c r="E36" s="102"/>
      <c r="F36" s="102"/>
      <c r="G36" s="102"/>
      <c r="H36" s="56" t="str">
        <f t="shared" si="24"/>
        <v/>
      </c>
      <c r="I36" s="56" t="str">
        <f>IF(C36="","",SUMIF($N$10:$AK$10,$I$11,N36:AK36))</f>
        <v/>
      </c>
      <c r="J36" s="56" t="str">
        <f t="shared" ca="1" si="25"/>
        <v/>
      </c>
      <c r="K36" s="56" t="str">
        <f>IF(C36="","",SUMIF($O$10:$AA$10,$K$11,O36:AA36))</f>
        <v/>
      </c>
      <c r="L36" s="57" t="str">
        <f>IF(C36="","",J36+K36)</f>
        <v/>
      </c>
      <c r="M36" s="30"/>
      <c r="N36" s="94"/>
      <c r="O36" s="87" t="str">
        <f ca="1">IFERROR(IF(C36&lt;&gt;"",IF($O$10="IST",SUMIF(INDIRECT("'"&amp;$O$11&amp;"'!"&amp;$H$7),C36,INDIRECT("'"&amp;$O$11&amp;"'!"&amp;$K$7))),""),"")</f>
        <v/>
      </c>
      <c r="P36" s="94"/>
      <c r="Q36" s="57" t="str">
        <f ca="1">IFERROR(IF(C36&lt;&gt;"",IF($Q$10="IST",SUMIF(INDIRECT("'"&amp;$Q$11&amp;"'!"&amp;$H$7),C36,INDIRECT("'"&amp;$Q$11&amp;"'!"&amp;$K$7))),""),"")</f>
        <v/>
      </c>
      <c r="R36" s="95"/>
      <c r="S36" s="87" t="str">
        <f ca="1">IFERROR(IF(C36&lt;&gt;"",IF($S$10="IST",SUMIF(INDIRECT("'"&amp;$S$11&amp;"'!"&amp;$H$7),C36,INDIRECT("'"&amp;$S$11&amp;"'!"&amp;$K$7))),""),"")</f>
        <v/>
      </c>
      <c r="T36" s="94"/>
      <c r="U36" s="57" t="str">
        <f ca="1">IFERROR(IF(C36&lt;&gt;"",IF($U$10="IST",SUMIF(INDIRECT("'"&amp;$U$11&amp;"'!"&amp;$H$7),C36,INDIRECT("'"&amp;$U$11&amp;"'!"&amp;$K$7))),""),"")</f>
        <v/>
      </c>
      <c r="V36" s="95"/>
      <c r="W36" s="87" t="str">
        <f ca="1">IFERROR(IF(C36&lt;&gt;"",IF($W$10="IST",SUMIF(INDIRECT("'"&amp;$W$11&amp;"'!"&amp;$H$7),C36,INDIRECT("'"&amp;$W$11&amp;"'!"&amp;$K$7))),""),"")</f>
        <v/>
      </c>
      <c r="X36" s="94"/>
      <c r="Y36" s="57" t="str">
        <f ca="1">IFERROR(IF(C36&lt;&gt;"",IF($Y$10="IST",SUMIF(INDIRECT("'"&amp;$Y$11&amp;"'!"&amp;$H$7),C36,INDIRECT("'"&amp;$Y$11&amp;"'!"&amp;$K$7))),""),"")</f>
        <v/>
      </c>
      <c r="Z36" s="95"/>
      <c r="AA36" s="87" t="str">
        <f ca="1">IFERROR(IF(C36&lt;&gt;"",IF($AA$10="IST",SUMIF(INDIRECT("'"&amp;$AA$11&amp;"'!"&amp;$H$7),C36,INDIRECT("'"&amp;$AA$11&amp;"'!"&amp;$K$7))),""),"")</f>
        <v/>
      </c>
      <c r="AB36" s="94"/>
      <c r="AC36" s="57" t="str">
        <f ca="1">IFERROR(IF(C36&lt;&gt;"",IF($AC$10="IST",SUMIF(INDIRECT("'"&amp;$AC$11&amp;"'!"&amp;$H$7),C36,INDIRECT("'"&amp;$AC$11&amp;"'!"&amp;$K$7))),""),"")</f>
        <v/>
      </c>
      <c r="AD36" s="95"/>
      <c r="AE36" s="87" t="str">
        <f ca="1">IFERROR(IF(C36&lt;&gt;"",IF($AE$10="IST",SUMIF(INDIRECT("'"&amp;$AE$11&amp;"'!"&amp;$H$7),C36,INDIRECT("'"&amp;$AE$11&amp;"'!"&amp;$K$7))),""),"")</f>
        <v/>
      </c>
      <c r="AF36" s="94"/>
      <c r="AG36" s="57" t="str">
        <f ca="1">IFERROR(IF(C36&lt;&gt;"",IF($AG$10="IST",SUMIF(INDIRECT("'"&amp;$AG$11&amp;"'!"&amp;$H$7),C36,INDIRECT("'"&amp;$AG$11&amp;"'!"&amp;$K$7))),""),"")</f>
        <v/>
      </c>
      <c r="AH36" s="95"/>
      <c r="AI36" s="87" t="str">
        <f ca="1">IFERROR(IF(C36&lt;&gt;"",IF($AI$10="IST",SUMIF(INDIRECT("'"&amp;$AI$11&amp;"'!"&amp;$H$7),C36,INDIRECT("'"&amp;$AI$11&amp;"'!"&amp;$K$7))),""),"")</f>
        <v/>
      </c>
      <c r="AJ36" s="94"/>
      <c r="AK36" s="57" t="str">
        <f ca="1">IFERROR(IF(C36&lt;&gt;"",IF($AK$10="IST",SUMIF(INDIRECT("'"&amp;$AK$11&amp;"'!"&amp;$H$7),C36,INDIRECT("'"&amp;$AK$11&amp;"'!"&amp;$K$7))),""),"")</f>
        <v/>
      </c>
    </row>
    <row r="37" spans="1:37" x14ac:dyDescent="0.25">
      <c r="A37" s="29"/>
      <c r="B37" s="100"/>
      <c r="C37" s="101"/>
      <c r="D37" s="102"/>
      <c r="E37" s="102"/>
      <c r="F37" s="102"/>
      <c r="G37" s="102"/>
      <c r="H37" s="56" t="str">
        <f t="shared" si="24"/>
        <v/>
      </c>
      <c r="I37" s="56" t="str">
        <f>IF(C37="","",SUMIF($N$10:$AK$10,$I$11,N37:AK37))</f>
        <v/>
      </c>
      <c r="J37" s="56" t="str">
        <f t="shared" ca="1" si="25"/>
        <v/>
      </c>
      <c r="K37" s="56" t="str">
        <f>IF(C37="","",SUMIF($O$10:$AA$10,$K$11,O37:AA37))</f>
        <v/>
      </c>
      <c r="L37" s="57" t="str">
        <f>IF(C37="","",J37+K37)</f>
        <v/>
      </c>
      <c r="M37" s="30"/>
      <c r="N37" s="94"/>
      <c r="O37" s="87" t="str">
        <f ca="1">IFERROR(IF(C37&lt;&gt;"",IF($O$10="IST",SUMIF(INDIRECT("'"&amp;$O$11&amp;"'!"&amp;$H$7),C37,INDIRECT("'"&amp;$O$11&amp;"'!"&amp;$K$7))),""),"")</f>
        <v/>
      </c>
      <c r="P37" s="94"/>
      <c r="Q37" s="57" t="str">
        <f ca="1">IFERROR(IF(C37&lt;&gt;"",IF($Q$10="IST",SUMIF(INDIRECT("'"&amp;$Q$11&amp;"'!"&amp;$H$7),C37,INDIRECT("'"&amp;$Q$11&amp;"'!"&amp;$K$7))),""),"")</f>
        <v/>
      </c>
      <c r="R37" s="95"/>
      <c r="S37" s="87" t="str">
        <f ca="1">IFERROR(IF(C37&lt;&gt;"",IF($S$10="IST",SUMIF(INDIRECT("'"&amp;$S$11&amp;"'!"&amp;$H$7),C37,INDIRECT("'"&amp;$S$11&amp;"'!"&amp;$K$7))),""),"")</f>
        <v/>
      </c>
      <c r="T37" s="94"/>
      <c r="U37" s="57" t="str">
        <f ca="1">IFERROR(IF(C37&lt;&gt;"",IF($U$10="IST",SUMIF(INDIRECT("'"&amp;$U$11&amp;"'!"&amp;$H$7),C37,INDIRECT("'"&amp;$U$11&amp;"'!"&amp;$K$7))),""),"")</f>
        <v/>
      </c>
      <c r="V37" s="95"/>
      <c r="W37" s="87" t="str">
        <f ca="1">IFERROR(IF(C37&lt;&gt;"",IF($W$10="IST",SUMIF(INDIRECT("'"&amp;$W$11&amp;"'!"&amp;$H$7),C37,INDIRECT("'"&amp;$W$11&amp;"'!"&amp;$K$7))),""),"")</f>
        <v/>
      </c>
      <c r="X37" s="94"/>
      <c r="Y37" s="57" t="str">
        <f ca="1">IFERROR(IF(C37&lt;&gt;"",IF($Y$10="IST",SUMIF(INDIRECT("'"&amp;$Y$11&amp;"'!"&amp;$H$7),C37,INDIRECT("'"&amp;$Y$11&amp;"'!"&amp;$K$7))),""),"")</f>
        <v/>
      </c>
      <c r="Z37" s="95"/>
      <c r="AA37" s="87" t="str">
        <f ca="1">IFERROR(IF(C37&lt;&gt;"",IF($AA$10="IST",SUMIF(INDIRECT("'"&amp;$AA$11&amp;"'!"&amp;$H$7),C37,INDIRECT("'"&amp;$AA$11&amp;"'!"&amp;$K$7))),""),"")</f>
        <v/>
      </c>
      <c r="AB37" s="94"/>
      <c r="AC37" s="57" t="str">
        <f ca="1">IFERROR(IF(C37&lt;&gt;"",IF($AC$10="IST",SUMIF(INDIRECT("'"&amp;$AC$11&amp;"'!"&amp;$H$7),C37,INDIRECT("'"&amp;$AC$11&amp;"'!"&amp;$K$7))),""),"")</f>
        <v/>
      </c>
      <c r="AD37" s="95"/>
      <c r="AE37" s="87" t="str">
        <f ca="1">IFERROR(IF(C37&lt;&gt;"",IF($AE$10="IST",SUMIF(INDIRECT("'"&amp;$AE$11&amp;"'!"&amp;$H$7),C37,INDIRECT("'"&amp;$AE$11&amp;"'!"&amp;$K$7))),""),"")</f>
        <v/>
      </c>
      <c r="AF37" s="94"/>
      <c r="AG37" s="57" t="str">
        <f ca="1">IFERROR(IF(C37&lt;&gt;"",IF($AG$10="IST",SUMIF(INDIRECT("'"&amp;$AG$11&amp;"'!"&amp;$H$7),C37,INDIRECT("'"&amp;$AG$11&amp;"'!"&amp;$K$7))),""),"")</f>
        <v/>
      </c>
      <c r="AH37" s="95"/>
      <c r="AI37" s="87" t="str">
        <f ca="1">IFERROR(IF(C37&lt;&gt;"",IF($AI$10="IST",SUMIF(INDIRECT("'"&amp;$AI$11&amp;"'!"&amp;$H$7),C37,INDIRECT("'"&amp;$AI$11&amp;"'!"&amp;$K$7))),""),"")</f>
        <v/>
      </c>
      <c r="AJ37" s="94"/>
      <c r="AK37" s="57" t="str">
        <f ca="1">IFERROR(IF(C37&lt;&gt;"",IF($AK$10="IST",SUMIF(INDIRECT("'"&amp;$AK$11&amp;"'!"&amp;$H$7),C37,INDIRECT("'"&amp;$AK$11&amp;"'!"&amp;$K$7))),""),"")</f>
        <v/>
      </c>
    </row>
    <row r="38" spans="1:37" x14ac:dyDescent="0.25">
      <c r="A38" s="29"/>
      <c r="B38" s="100"/>
      <c r="C38" s="101"/>
      <c r="D38" s="102"/>
      <c r="E38" s="102"/>
      <c r="F38" s="102"/>
      <c r="G38" s="102"/>
      <c r="H38" s="56" t="str">
        <f t="shared" si="24"/>
        <v/>
      </c>
      <c r="I38" s="56" t="str">
        <f>IF(C38="","",SUMIF($N$10:$AK$10,$I$11,N38:AK38))</f>
        <v/>
      </c>
      <c r="J38" s="56" t="str">
        <f t="shared" ca="1" si="25"/>
        <v/>
      </c>
      <c r="K38" s="56" t="str">
        <f>IF(C38="","",SUMIF($O$10:$AA$10,$K$11,O38:AA38))</f>
        <v/>
      </c>
      <c r="L38" s="57" t="str">
        <f>IF(C38="","",J38+K38)</f>
        <v/>
      </c>
      <c r="M38" s="30"/>
      <c r="N38" s="94"/>
      <c r="O38" s="87" t="str">
        <f ca="1">IFERROR(IF(C38&lt;&gt;"",IF($O$10="IST",SUMIF(INDIRECT("'"&amp;$O$11&amp;"'!"&amp;$H$7),C38,INDIRECT("'"&amp;$O$11&amp;"'!"&amp;$K$7))),""),"")</f>
        <v/>
      </c>
      <c r="P38" s="94"/>
      <c r="Q38" s="57" t="str">
        <f ca="1">IFERROR(IF(C38&lt;&gt;"",IF($Q$10="IST",SUMIF(INDIRECT("'"&amp;$Q$11&amp;"'!"&amp;$H$7),C38,INDIRECT("'"&amp;$Q$11&amp;"'!"&amp;$K$7))),""),"")</f>
        <v/>
      </c>
      <c r="R38" s="95"/>
      <c r="S38" s="87" t="str">
        <f ca="1">IFERROR(IF(C38&lt;&gt;"",IF($S$10="IST",SUMIF(INDIRECT("'"&amp;$S$11&amp;"'!"&amp;$H$7),C38,INDIRECT("'"&amp;$S$11&amp;"'!"&amp;$K$7))),""),"")</f>
        <v/>
      </c>
      <c r="T38" s="94"/>
      <c r="U38" s="57" t="str">
        <f ca="1">IFERROR(IF(C38&lt;&gt;"",IF($U$10="IST",SUMIF(INDIRECT("'"&amp;$U$11&amp;"'!"&amp;$H$7),C38,INDIRECT("'"&amp;$U$11&amp;"'!"&amp;$K$7))),""),"")</f>
        <v/>
      </c>
      <c r="V38" s="95"/>
      <c r="W38" s="87" t="str">
        <f ca="1">IFERROR(IF(C38&lt;&gt;"",IF($W$10="IST",SUMIF(INDIRECT("'"&amp;$W$11&amp;"'!"&amp;$H$7),C38,INDIRECT("'"&amp;$W$11&amp;"'!"&amp;$K$7))),""),"")</f>
        <v/>
      </c>
      <c r="X38" s="94"/>
      <c r="Y38" s="57" t="str">
        <f ca="1">IFERROR(IF(C38&lt;&gt;"",IF($Y$10="IST",SUMIF(INDIRECT("'"&amp;$Y$11&amp;"'!"&amp;$H$7),C38,INDIRECT("'"&amp;$Y$11&amp;"'!"&amp;$K$7))),""),"")</f>
        <v/>
      </c>
      <c r="Z38" s="95"/>
      <c r="AA38" s="87" t="str">
        <f ca="1">IFERROR(IF(C38&lt;&gt;"",IF($AA$10="IST",SUMIF(INDIRECT("'"&amp;$AA$11&amp;"'!"&amp;$H$7),C38,INDIRECT("'"&amp;$AA$11&amp;"'!"&amp;$K$7))),""),"")</f>
        <v/>
      </c>
      <c r="AB38" s="94"/>
      <c r="AC38" s="57" t="str">
        <f ca="1">IFERROR(IF(C38&lt;&gt;"",IF($AC$10="IST",SUMIF(INDIRECT("'"&amp;$AC$11&amp;"'!"&amp;$H$7),C38,INDIRECT("'"&amp;$AC$11&amp;"'!"&amp;$K$7))),""),"")</f>
        <v/>
      </c>
      <c r="AD38" s="95"/>
      <c r="AE38" s="87" t="str">
        <f ca="1">IFERROR(IF(C38&lt;&gt;"",IF($AE$10="IST",SUMIF(INDIRECT("'"&amp;$AE$11&amp;"'!"&amp;$H$7),C38,INDIRECT("'"&amp;$AE$11&amp;"'!"&amp;$K$7))),""),"")</f>
        <v/>
      </c>
      <c r="AF38" s="94"/>
      <c r="AG38" s="57" t="str">
        <f ca="1">IFERROR(IF(C38&lt;&gt;"",IF($AG$10="IST",SUMIF(INDIRECT("'"&amp;$AG$11&amp;"'!"&amp;$H$7),C38,INDIRECT("'"&amp;$AG$11&amp;"'!"&amp;$K$7))),""),"")</f>
        <v/>
      </c>
      <c r="AH38" s="95"/>
      <c r="AI38" s="87" t="str">
        <f ca="1">IFERROR(IF(C38&lt;&gt;"",IF($AI$10="IST",SUMIF(INDIRECT("'"&amp;$AI$11&amp;"'!"&amp;$H$7),C38,INDIRECT("'"&amp;$AI$11&amp;"'!"&amp;$K$7))),""),"")</f>
        <v/>
      </c>
      <c r="AJ38" s="94"/>
      <c r="AK38" s="57" t="str">
        <f ca="1">IFERROR(IF(C38&lt;&gt;"",IF($AK$10="IST",SUMIF(INDIRECT("'"&amp;$AK$11&amp;"'!"&amp;$H$7),C38,INDIRECT("'"&amp;$AK$11&amp;"'!"&amp;$K$7))),""),"")</f>
        <v/>
      </c>
    </row>
    <row r="39" spans="1:37" x14ac:dyDescent="0.25">
      <c r="A39" s="29"/>
      <c r="B39" s="100"/>
      <c r="C39" s="101"/>
      <c r="D39" s="102"/>
      <c r="E39" s="102"/>
      <c r="F39" s="102"/>
      <c r="G39" s="102"/>
      <c r="H39" s="56" t="str">
        <f t="shared" si="24"/>
        <v/>
      </c>
      <c r="I39" s="56" t="str">
        <f>IF(C39="","",SUMIF($N$10:$AK$10,$I$11,N39:AK39))</f>
        <v/>
      </c>
      <c r="J39" s="56" t="str">
        <f t="shared" ca="1" si="25"/>
        <v/>
      </c>
      <c r="K39" s="56" t="str">
        <f>IF(C39="","",SUMIF($O$10:$AA$10,$K$11,O39:AA39))</f>
        <v/>
      </c>
      <c r="L39" s="57" t="str">
        <f>IF(C39="","",J39+K39)</f>
        <v/>
      </c>
      <c r="M39" s="30"/>
      <c r="N39" s="94"/>
      <c r="O39" s="87" t="str">
        <f ca="1">IFERROR(IF(C39&lt;&gt;"",IF($O$10="IST",SUMIF(INDIRECT("'"&amp;$O$11&amp;"'!"&amp;$H$7),C39,INDIRECT("'"&amp;$O$11&amp;"'!"&amp;$K$7))),""),"")</f>
        <v/>
      </c>
      <c r="P39" s="94"/>
      <c r="Q39" s="57" t="str">
        <f ca="1">IFERROR(IF(C39&lt;&gt;"",IF($Q$10="IST",SUMIF(INDIRECT("'"&amp;$Q$11&amp;"'!"&amp;$H$7),C39,INDIRECT("'"&amp;$Q$11&amp;"'!"&amp;$K$7))),""),"")</f>
        <v/>
      </c>
      <c r="R39" s="95"/>
      <c r="S39" s="87" t="str">
        <f ca="1">IFERROR(IF(C39&lt;&gt;"",IF($S$10="IST",SUMIF(INDIRECT("'"&amp;$S$11&amp;"'!"&amp;$H$7),C39,INDIRECT("'"&amp;$S$11&amp;"'!"&amp;$K$7))),""),"")</f>
        <v/>
      </c>
      <c r="T39" s="94"/>
      <c r="U39" s="57" t="str">
        <f ca="1">IFERROR(IF(C39&lt;&gt;"",IF($U$10="IST",SUMIF(INDIRECT("'"&amp;$U$11&amp;"'!"&amp;$H$7),C39,INDIRECT("'"&amp;$U$11&amp;"'!"&amp;$K$7))),""),"")</f>
        <v/>
      </c>
      <c r="V39" s="95"/>
      <c r="W39" s="87" t="str">
        <f ca="1">IFERROR(IF(C39&lt;&gt;"",IF($W$10="IST",SUMIF(INDIRECT("'"&amp;$W$11&amp;"'!"&amp;$H$7),C39,INDIRECT("'"&amp;$W$11&amp;"'!"&amp;$K$7))),""),"")</f>
        <v/>
      </c>
      <c r="X39" s="94"/>
      <c r="Y39" s="57" t="str">
        <f ca="1">IFERROR(IF(C39&lt;&gt;"",IF($Y$10="IST",SUMIF(INDIRECT("'"&amp;$Y$11&amp;"'!"&amp;$H$7),C39,INDIRECT("'"&amp;$Y$11&amp;"'!"&amp;$K$7))),""),"")</f>
        <v/>
      </c>
      <c r="Z39" s="95"/>
      <c r="AA39" s="87" t="str">
        <f ca="1">IFERROR(IF(C39&lt;&gt;"",IF($AA$10="IST",SUMIF(INDIRECT("'"&amp;$AA$11&amp;"'!"&amp;$H$7),C39,INDIRECT("'"&amp;$AA$11&amp;"'!"&amp;$K$7))),""),"")</f>
        <v/>
      </c>
      <c r="AB39" s="94"/>
      <c r="AC39" s="57" t="str">
        <f ca="1">IFERROR(IF(C39&lt;&gt;"",IF($AC$10="IST",SUMIF(INDIRECT("'"&amp;$AC$11&amp;"'!"&amp;$H$7),C39,INDIRECT("'"&amp;$AC$11&amp;"'!"&amp;$K$7))),""),"")</f>
        <v/>
      </c>
      <c r="AD39" s="95"/>
      <c r="AE39" s="87" t="str">
        <f ca="1">IFERROR(IF(C39&lt;&gt;"",IF($AE$10="IST",SUMIF(INDIRECT("'"&amp;$AE$11&amp;"'!"&amp;$H$7),C39,INDIRECT("'"&amp;$AE$11&amp;"'!"&amp;$K$7))),""),"")</f>
        <v/>
      </c>
      <c r="AF39" s="94"/>
      <c r="AG39" s="57" t="str">
        <f ca="1">IFERROR(IF(C39&lt;&gt;"",IF($AG$10="IST",SUMIF(INDIRECT("'"&amp;$AG$11&amp;"'!"&amp;$H$7),C39,INDIRECT("'"&amp;$AG$11&amp;"'!"&amp;$K$7))),""),"")</f>
        <v/>
      </c>
      <c r="AH39" s="95"/>
      <c r="AI39" s="87" t="str">
        <f ca="1">IFERROR(IF(C39&lt;&gt;"",IF($AI$10="IST",SUMIF(INDIRECT("'"&amp;$AI$11&amp;"'!"&amp;$H$7),C39,INDIRECT("'"&amp;$AI$11&amp;"'!"&amp;$K$7))),""),"")</f>
        <v/>
      </c>
      <c r="AJ39" s="94"/>
      <c r="AK39" s="57" t="str">
        <f ca="1">IFERROR(IF(C39&lt;&gt;"",IF($AK$10="IST",SUMIF(INDIRECT("'"&amp;$AK$11&amp;"'!"&amp;$H$7),C39,INDIRECT("'"&amp;$AK$11&amp;"'!"&amp;$K$7))),""),"")</f>
        <v/>
      </c>
    </row>
    <row r="40" spans="1:37" x14ac:dyDescent="0.25">
      <c r="A40" s="29"/>
      <c r="B40" s="100"/>
      <c r="C40" s="101"/>
      <c r="D40" s="102"/>
      <c r="E40" s="102"/>
      <c r="F40" s="102"/>
      <c r="G40" s="102"/>
      <c r="H40" s="56" t="str">
        <f t="shared" si="24"/>
        <v/>
      </c>
      <c r="I40" s="56" t="str">
        <f>IF(C40="","",SUMIF($N$10:$AK$10,$I$11,N40:AK40))</f>
        <v/>
      </c>
      <c r="J40" s="56" t="str">
        <f t="shared" ca="1" si="25"/>
        <v/>
      </c>
      <c r="K40" s="56" t="str">
        <f>IF(C40="","",SUMIF($O$10:$AA$10,$K$11,O40:AA40))</f>
        <v/>
      </c>
      <c r="L40" s="57" t="str">
        <f>IF(C40="","",J40+K40)</f>
        <v/>
      </c>
      <c r="M40" s="30"/>
      <c r="N40" s="94"/>
      <c r="O40" s="87" t="str">
        <f ca="1">IFERROR(IF(C40&lt;&gt;"",IF($O$10="IST",SUMIF(INDIRECT("'"&amp;$O$11&amp;"'!"&amp;$H$7),C40,INDIRECT("'"&amp;$O$11&amp;"'!"&amp;$K$7))),""),"")</f>
        <v/>
      </c>
      <c r="P40" s="94"/>
      <c r="Q40" s="57" t="str">
        <f ca="1">IFERROR(IF(C40&lt;&gt;"",IF($Q$10="IST",SUMIF(INDIRECT("'"&amp;$Q$11&amp;"'!"&amp;$H$7),C40,INDIRECT("'"&amp;$Q$11&amp;"'!"&amp;$K$7))),""),"")</f>
        <v/>
      </c>
      <c r="R40" s="95"/>
      <c r="S40" s="87" t="str">
        <f ca="1">IFERROR(IF(C40&lt;&gt;"",IF($S$10="IST",SUMIF(INDIRECT("'"&amp;$S$11&amp;"'!"&amp;$H$7),C40,INDIRECT("'"&amp;$S$11&amp;"'!"&amp;$K$7))),""),"")</f>
        <v/>
      </c>
      <c r="T40" s="94"/>
      <c r="U40" s="57" t="str">
        <f ca="1">IFERROR(IF(C40&lt;&gt;"",IF($U$10="IST",SUMIF(INDIRECT("'"&amp;$U$11&amp;"'!"&amp;$H$7),C40,INDIRECT("'"&amp;$U$11&amp;"'!"&amp;$K$7))),""),"")</f>
        <v/>
      </c>
      <c r="V40" s="95"/>
      <c r="W40" s="87" t="str">
        <f ca="1">IFERROR(IF(C40&lt;&gt;"",IF($W$10="IST",SUMIF(INDIRECT("'"&amp;$W$11&amp;"'!"&amp;$H$7),C40,INDIRECT("'"&amp;$W$11&amp;"'!"&amp;$K$7))),""),"")</f>
        <v/>
      </c>
      <c r="X40" s="94"/>
      <c r="Y40" s="57" t="str">
        <f ca="1">IFERROR(IF(C40&lt;&gt;"",IF($Y$10="IST",SUMIF(INDIRECT("'"&amp;$Y$11&amp;"'!"&amp;$H$7),C40,INDIRECT("'"&amp;$Y$11&amp;"'!"&amp;$K$7))),""),"")</f>
        <v/>
      </c>
      <c r="Z40" s="95"/>
      <c r="AA40" s="87" t="str">
        <f ca="1">IFERROR(IF(C40&lt;&gt;"",IF($AA$10="IST",SUMIF(INDIRECT("'"&amp;$AA$11&amp;"'!"&amp;$H$7),C40,INDIRECT("'"&amp;$AA$11&amp;"'!"&amp;$K$7))),""),"")</f>
        <v/>
      </c>
      <c r="AB40" s="94"/>
      <c r="AC40" s="57" t="str">
        <f ca="1">IFERROR(IF(C40&lt;&gt;"",IF($AC$10="IST",SUMIF(INDIRECT("'"&amp;$AC$11&amp;"'!"&amp;$H$7),C40,INDIRECT("'"&amp;$AC$11&amp;"'!"&amp;$K$7))),""),"")</f>
        <v/>
      </c>
      <c r="AD40" s="95"/>
      <c r="AE40" s="87" t="str">
        <f ca="1">IFERROR(IF(C40&lt;&gt;"",IF($AE$10="IST",SUMIF(INDIRECT("'"&amp;$AE$11&amp;"'!"&amp;$H$7),C40,INDIRECT("'"&amp;$AE$11&amp;"'!"&amp;$K$7))),""),"")</f>
        <v/>
      </c>
      <c r="AF40" s="94"/>
      <c r="AG40" s="57" t="str">
        <f ca="1">IFERROR(IF(C40&lt;&gt;"",IF($AG$10="IST",SUMIF(INDIRECT("'"&amp;$AG$11&amp;"'!"&amp;$H$7),C40,INDIRECT("'"&amp;$AG$11&amp;"'!"&amp;$K$7))),""),"")</f>
        <v/>
      </c>
      <c r="AH40" s="95"/>
      <c r="AI40" s="87" t="str">
        <f ca="1">IFERROR(IF(C40&lt;&gt;"",IF($AI$10="IST",SUMIF(INDIRECT("'"&amp;$AI$11&amp;"'!"&amp;$H$7),C40,INDIRECT("'"&amp;$AI$11&amp;"'!"&amp;$K$7))),""),"")</f>
        <v/>
      </c>
      <c r="AJ40" s="94"/>
      <c r="AK40" s="57" t="str">
        <f ca="1">IFERROR(IF(C40&lt;&gt;"",IF($AK$10="IST",SUMIF(INDIRECT("'"&amp;$AK$11&amp;"'!"&amp;$H$7),C40,INDIRECT("'"&amp;$AK$11&amp;"'!"&amp;$K$7))),""),"")</f>
        <v/>
      </c>
    </row>
    <row r="41" spans="1:37" x14ac:dyDescent="0.25">
      <c r="A41" s="29"/>
      <c r="B41" s="100"/>
      <c r="C41" s="101"/>
      <c r="D41" s="102"/>
      <c r="E41" s="102"/>
      <c r="F41" s="102"/>
      <c r="G41" s="102"/>
      <c r="H41" s="56" t="str">
        <f t="shared" si="24"/>
        <v/>
      </c>
      <c r="I41" s="56" t="str">
        <f>IF(C41="","",SUMIF($N$10:$AK$10,$I$11,N41:AK41))</f>
        <v/>
      </c>
      <c r="J41" s="56" t="str">
        <f t="shared" ca="1" si="25"/>
        <v/>
      </c>
      <c r="K41" s="56" t="str">
        <f>IF(C41="","",SUMIF($O$10:$AA$10,$K$11,O41:AA41))</f>
        <v/>
      </c>
      <c r="L41" s="57" t="str">
        <f>IF(C41="","",J41+K41)</f>
        <v/>
      </c>
      <c r="M41" s="30"/>
      <c r="N41" s="94"/>
      <c r="O41" s="87" t="str">
        <f ca="1">IFERROR(IF(C41&lt;&gt;"",IF($O$10="IST",SUMIF(INDIRECT("'"&amp;$O$11&amp;"'!"&amp;$H$7),C41,INDIRECT("'"&amp;$O$11&amp;"'!"&amp;$K$7))),""),"")</f>
        <v/>
      </c>
      <c r="P41" s="94"/>
      <c r="Q41" s="57" t="str">
        <f ca="1">IFERROR(IF(C41&lt;&gt;"",IF($Q$10="IST",SUMIF(INDIRECT("'"&amp;$Q$11&amp;"'!"&amp;$H$7),C41,INDIRECT("'"&amp;$Q$11&amp;"'!"&amp;$K$7))),""),"")</f>
        <v/>
      </c>
      <c r="R41" s="95"/>
      <c r="S41" s="87" t="str">
        <f ca="1">IFERROR(IF(C41&lt;&gt;"",IF($S$10="IST",SUMIF(INDIRECT("'"&amp;$S$11&amp;"'!"&amp;$H$7),C41,INDIRECT("'"&amp;$S$11&amp;"'!"&amp;$K$7))),""),"")</f>
        <v/>
      </c>
      <c r="T41" s="94"/>
      <c r="U41" s="57" t="str">
        <f ca="1">IFERROR(IF(C41&lt;&gt;"",IF($U$10="IST",SUMIF(INDIRECT("'"&amp;$U$11&amp;"'!"&amp;$H$7),C41,INDIRECT("'"&amp;$U$11&amp;"'!"&amp;$K$7))),""),"")</f>
        <v/>
      </c>
      <c r="V41" s="95"/>
      <c r="W41" s="87" t="str">
        <f ca="1">IFERROR(IF(C41&lt;&gt;"",IF($W$10="IST",SUMIF(INDIRECT("'"&amp;$W$11&amp;"'!"&amp;$H$7),C41,INDIRECT("'"&amp;$W$11&amp;"'!"&amp;$K$7))),""),"")</f>
        <v/>
      </c>
      <c r="X41" s="94"/>
      <c r="Y41" s="57" t="str">
        <f ca="1">IFERROR(IF(C41&lt;&gt;"",IF($Y$10="IST",SUMIF(INDIRECT("'"&amp;$Y$11&amp;"'!"&amp;$H$7),C41,INDIRECT("'"&amp;$Y$11&amp;"'!"&amp;$K$7))),""),"")</f>
        <v/>
      </c>
      <c r="Z41" s="95"/>
      <c r="AA41" s="87" t="str">
        <f ca="1">IFERROR(IF(C41&lt;&gt;"",IF($AA$10="IST",SUMIF(INDIRECT("'"&amp;$AA$11&amp;"'!"&amp;$H$7),C41,INDIRECT("'"&amp;$AA$11&amp;"'!"&amp;$K$7))),""),"")</f>
        <v/>
      </c>
      <c r="AB41" s="94"/>
      <c r="AC41" s="57" t="str">
        <f ca="1">IFERROR(IF(C41&lt;&gt;"",IF($AC$10="IST",SUMIF(INDIRECT("'"&amp;$AC$11&amp;"'!"&amp;$H$7),C41,INDIRECT("'"&amp;$AC$11&amp;"'!"&amp;$K$7))),""),"")</f>
        <v/>
      </c>
      <c r="AD41" s="95"/>
      <c r="AE41" s="87" t="str">
        <f ca="1">IFERROR(IF(C41&lt;&gt;"",IF($AE$10="IST",SUMIF(INDIRECT("'"&amp;$AE$11&amp;"'!"&amp;$H$7),C41,INDIRECT("'"&amp;$AE$11&amp;"'!"&amp;$K$7))),""),"")</f>
        <v/>
      </c>
      <c r="AF41" s="94"/>
      <c r="AG41" s="57" t="str">
        <f ca="1">IFERROR(IF(C41&lt;&gt;"",IF($AG$10="IST",SUMIF(INDIRECT("'"&amp;$AG$11&amp;"'!"&amp;$H$7),C41,INDIRECT("'"&amp;$AG$11&amp;"'!"&amp;$K$7))),""),"")</f>
        <v/>
      </c>
      <c r="AH41" s="95"/>
      <c r="AI41" s="87" t="str">
        <f ca="1">IFERROR(IF(C41&lt;&gt;"",IF($AI$10="IST",SUMIF(INDIRECT("'"&amp;$AI$11&amp;"'!"&amp;$H$7),C41,INDIRECT("'"&amp;$AI$11&amp;"'!"&amp;$K$7))),""),"")</f>
        <v/>
      </c>
      <c r="AJ41" s="94"/>
      <c r="AK41" s="57" t="str">
        <f ca="1">IFERROR(IF(C41&lt;&gt;"",IF($AK$10="IST",SUMIF(INDIRECT("'"&amp;$AK$11&amp;"'!"&amp;$H$7),C41,INDIRECT("'"&amp;$AK$11&amp;"'!"&amp;$K$7))),""),"")</f>
        <v/>
      </c>
    </row>
    <row r="42" spans="1:37" x14ac:dyDescent="0.25">
      <c r="A42" s="29"/>
      <c r="B42" s="100"/>
      <c r="C42" s="101"/>
      <c r="D42" s="102"/>
      <c r="E42" s="102"/>
      <c r="F42" s="102"/>
      <c r="G42" s="102"/>
      <c r="H42" s="56" t="str">
        <f t="shared" si="24"/>
        <v/>
      </c>
      <c r="I42" s="56" t="str">
        <f>IF(C42="","",SUMIF($N$10:$AK$10,$I$11,N42:AK42))</f>
        <v/>
      </c>
      <c r="J42" s="56" t="str">
        <f t="shared" ca="1" si="25"/>
        <v/>
      </c>
      <c r="K42" s="56" t="str">
        <f>IF(C42="","",SUMIF($O$10:$AA$10,$K$11,O42:AA42))</f>
        <v/>
      </c>
      <c r="L42" s="57" t="str">
        <f>IF(C42="","",J42+K42)</f>
        <v/>
      </c>
      <c r="M42" s="30"/>
      <c r="N42" s="94"/>
      <c r="O42" s="87" t="str">
        <f ca="1">IFERROR(IF(C42&lt;&gt;"",IF($O$10="IST",SUMIF(INDIRECT("'"&amp;$O$11&amp;"'!"&amp;$H$7),C42,INDIRECT("'"&amp;$O$11&amp;"'!"&amp;$K$7))),""),"")</f>
        <v/>
      </c>
      <c r="P42" s="94"/>
      <c r="Q42" s="57" t="str">
        <f ca="1">IFERROR(IF(C42&lt;&gt;"",IF($Q$10="IST",SUMIF(INDIRECT("'"&amp;$Q$11&amp;"'!"&amp;$H$7),C42,INDIRECT("'"&amp;$Q$11&amp;"'!"&amp;$K$7))),""),"")</f>
        <v/>
      </c>
      <c r="R42" s="95"/>
      <c r="S42" s="87" t="str">
        <f ca="1">IFERROR(IF(C42&lt;&gt;"",IF($S$10="IST",SUMIF(INDIRECT("'"&amp;$S$11&amp;"'!"&amp;$H$7),C42,INDIRECT("'"&amp;$S$11&amp;"'!"&amp;$K$7))),""),"")</f>
        <v/>
      </c>
      <c r="T42" s="94"/>
      <c r="U42" s="57" t="str">
        <f ca="1">IFERROR(IF(C42&lt;&gt;"",IF($U$10="IST",SUMIF(INDIRECT("'"&amp;$U$11&amp;"'!"&amp;$H$7),C42,INDIRECT("'"&amp;$U$11&amp;"'!"&amp;$K$7))),""),"")</f>
        <v/>
      </c>
      <c r="V42" s="95"/>
      <c r="W42" s="87" t="str">
        <f ca="1">IFERROR(IF(C42&lt;&gt;"",IF($W$10="IST",SUMIF(INDIRECT("'"&amp;$W$11&amp;"'!"&amp;$H$7),C42,INDIRECT("'"&amp;$W$11&amp;"'!"&amp;$K$7))),""),"")</f>
        <v/>
      </c>
      <c r="X42" s="94"/>
      <c r="Y42" s="57" t="str">
        <f ca="1">IFERROR(IF(C42&lt;&gt;"",IF($Y$10="IST",SUMIF(INDIRECT("'"&amp;$Y$11&amp;"'!"&amp;$H$7),C42,INDIRECT("'"&amp;$Y$11&amp;"'!"&amp;$K$7))),""),"")</f>
        <v/>
      </c>
      <c r="Z42" s="95"/>
      <c r="AA42" s="87" t="str">
        <f ca="1">IFERROR(IF(C42&lt;&gt;"",IF($AA$10="IST",SUMIF(INDIRECT("'"&amp;$AA$11&amp;"'!"&amp;$H$7),C42,INDIRECT("'"&amp;$AA$11&amp;"'!"&amp;$K$7))),""),"")</f>
        <v/>
      </c>
      <c r="AB42" s="94"/>
      <c r="AC42" s="57" t="str">
        <f ca="1">IFERROR(IF(C42&lt;&gt;"",IF($AC$10="IST",SUMIF(INDIRECT("'"&amp;$AC$11&amp;"'!"&amp;$H$7),C42,INDIRECT("'"&amp;$AC$11&amp;"'!"&amp;$K$7))),""),"")</f>
        <v/>
      </c>
      <c r="AD42" s="95"/>
      <c r="AE42" s="87" t="str">
        <f ca="1">IFERROR(IF(C42&lt;&gt;"",IF($AE$10="IST",SUMIF(INDIRECT("'"&amp;$AE$11&amp;"'!"&amp;$H$7),C42,INDIRECT("'"&amp;$AE$11&amp;"'!"&amp;$K$7))),""),"")</f>
        <v/>
      </c>
      <c r="AF42" s="94"/>
      <c r="AG42" s="57" t="str">
        <f ca="1">IFERROR(IF(C42&lt;&gt;"",IF($AG$10="IST",SUMIF(INDIRECT("'"&amp;$AG$11&amp;"'!"&amp;$H$7),C42,INDIRECT("'"&amp;$AG$11&amp;"'!"&amp;$K$7))),""),"")</f>
        <v/>
      </c>
      <c r="AH42" s="95"/>
      <c r="AI42" s="87" t="str">
        <f ca="1">IFERROR(IF(C42&lt;&gt;"",IF($AI$10="IST",SUMIF(INDIRECT("'"&amp;$AI$11&amp;"'!"&amp;$H$7),C42,INDIRECT("'"&amp;$AI$11&amp;"'!"&amp;$K$7))),""),"")</f>
        <v/>
      </c>
      <c r="AJ42" s="94"/>
      <c r="AK42" s="57" t="str">
        <f ca="1">IFERROR(IF(C42&lt;&gt;"",IF($AK$10="IST",SUMIF(INDIRECT("'"&amp;$AK$11&amp;"'!"&amp;$H$7),C42,INDIRECT("'"&amp;$AK$11&amp;"'!"&amp;$K$7))),""),"")</f>
        <v/>
      </c>
    </row>
    <row r="43" spans="1:37" x14ac:dyDescent="0.25">
      <c r="A43" s="29"/>
      <c r="B43" s="100"/>
      <c r="C43" s="101"/>
      <c r="D43" s="102"/>
      <c r="E43" s="102"/>
      <c r="F43" s="102"/>
      <c r="G43" s="102"/>
      <c r="H43" s="56" t="str">
        <f t="shared" si="24"/>
        <v/>
      </c>
      <c r="I43" s="56" t="str">
        <f>IF(C43="","",SUMIF($N$10:$AK$10,$I$11,N43:AK43))</f>
        <v/>
      </c>
      <c r="J43" s="56" t="str">
        <f t="shared" ca="1" si="25"/>
        <v/>
      </c>
      <c r="K43" s="56" t="str">
        <f>IF(C43="","",SUMIF($O$10:$AA$10,$K$11,O43:AA43))</f>
        <v/>
      </c>
      <c r="L43" s="57" t="str">
        <f>IF(C43="","",J43+K43)</f>
        <v/>
      </c>
      <c r="M43" s="30"/>
      <c r="N43" s="94"/>
      <c r="O43" s="87" t="str">
        <f ca="1">IFERROR(IF(C43&lt;&gt;"",IF($O$10="IST",SUMIF(INDIRECT("'"&amp;$O$11&amp;"'!"&amp;$H$7),C43,INDIRECT("'"&amp;$O$11&amp;"'!"&amp;$K$7))),""),"")</f>
        <v/>
      </c>
      <c r="P43" s="94"/>
      <c r="Q43" s="57" t="str">
        <f ca="1">IFERROR(IF(C43&lt;&gt;"",IF($Q$10="IST",SUMIF(INDIRECT("'"&amp;$Q$11&amp;"'!"&amp;$H$7),C43,INDIRECT("'"&amp;$Q$11&amp;"'!"&amp;$K$7))),""),"")</f>
        <v/>
      </c>
      <c r="R43" s="95"/>
      <c r="S43" s="87" t="str">
        <f ca="1">IFERROR(IF(C43&lt;&gt;"",IF($S$10="IST",SUMIF(INDIRECT("'"&amp;$S$11&amp;"'!"&amp;$H$7),C43,INDIRECT("'"&amp;$S$11&amp;"'!"&amp;$K$7))),""),"")</f>
        <v/>
      </c>
      <c r="T43" s="94"/>
      <c r="U43" s="57" t="str">
        <f ca="1">IFERROR(IF(C43&lt;&gt;"",IF($U$10="IST",SUMIF(INDIRECT("'"&amp;$U$11&amp;"'!"&amp;$H$7),C43,INDIRECT("'"&amp;$U$11&amp;"'!"&amp;$K$7))),""),"")</f>
        <v/>
      </c>
      <c r="V43" s="95"/>
      <c r="W43" s="87" t="str">
        <f ca="1">IFERROR(IF(C43&lt;&gt;"",IF($W$10="IST",SUMIF(INDIRECT("'"&amp;$W$11&amp;"'!"&amp;$H$7),C43,INDIRECT("'"&amp;$W$11&amp;"'!"&amp;$K$7))),""),"")</f>
        <v/>
      </c>
      <c r="X43" s="94"/>
      <c r="Y43" s="57" t="str">
        <f ca="1">IFERROR(IF(C43&lt;&gt;"",IF($Y$10="IST",SUMIF(INDIRECT("'"&amp;$Y$11&amp;"'!"&amp;$H$7),C43,INDIRECT("'"&amp;$Y$11&amp;"'!"&amp;$K$7))),""),"")</f>
        <v/>
      </c>
      <c r="Z43" s="95"/>
      <c r="AA43" s="87" t="str">
        <f ca="1">IFERROR(IF(C43&lt;&gt;"",IF($AA$10="IST",SUMIF(INDIRECT("'"&amp;$AA$11&amp;"'!"&amp;$H$7),C43,INDIRECT("'"&amp;$AA$11&amp;"'!"&amp;$K$7))),""),"")</f>
        <v/>
      </c>
      <c r="AB43" s="94"/>
      <c r="AC43" s="57" t="str">
        <f ca="1">IFERROR(IF(C43&lt;&gt;"",IF($AC$10="IST",SUMIF(INDIRECT("'"&amp;$AC$11&amp;"'!"&amp;$H$7),C43,INDIRECT("'"&amp;$AC$11&amp;"'!"&amp;$K$7))),""),"")</f>
        <v/>
      </c>
      <c r="AD43" s="95"/>
      <c r="AE43" s="87" t="str">
        <f ca="1">IFERROR(IF(C43&lt;&gt;"",IF($AE$10="IST",SUMIF(INDIRECT("'"&amp;$AE$11&amp;"'!"&amp;$H$7),C43,INDIRECT("'"&amp;$AE$11&amp;"'!"&amp;$K$7))),""),"")</f>
        <v/>
      </c>
      <c r="AF43" s="94"/>
      <c r="AG43" s="57" t="str">
        <f ca="1">IFERROR(IF(C43&lt;&gt;"",IF($AG$10="IST",SUMIF(INDIRECT("'"&amp;$AG$11&amp;"'!"&amp;$H$7),C43,INDIRECT("'"&amp;$AG$11&amp;"'!"&amp;$K$7))),""),"")</f>
        <v/>
      </c>
      <c r="AH43" s="95"/>
      <c r="AI43" s="87" t="str">
        <f ca="1">IFERROR(IF(C43&lt;&gt;"",IF($AI$10="IST",SUMIF(INDIRECT("'"&amp;$AI$11&amp;"'!"&amp;$H$7),C43,INDIRECT("'"&amp;$AI$11&amp;"'!"&amp;$K$7))),""),"")</f>
        <v/>
      </c>
      <c r="AJ43" s="94"/>
      <c r="AK43" s="57" t="str">
        <f ca="1">IFERROR(IF(C43&lt;&gt;"",IF($AK$10="IST",SUMIF(INDIRECT("'"&amp;$AK$11&amp;"'!"&amp;$H$7),C43,INDIRECT("'"&amp;$AK$11&amp;"'!"&amp;$K$7))),""),"")</f>
        <v/>
      </c>
    </row>
    <row r="44" spans="1:37" x14ac:dyDescent="0.25">
      <c r="A44" s="29"/>
      <c r="B44" s="100"/>
      <c r="C44" s="101"/>
      <c r="D44" s="102"/>
      <c r="E44" s="102"/>
      <c r="F44" s="102"/>
      <c r="G44" s="102"/>
      <c r="H44" s="56" t="str">
        <f t="shared" si="24"/>
        <v/>
      </c>
      <c r="I44" s="56" t="str">
        <f>IF(C44="","",SUMIF($N$10:$AK$10,$I$11,N44:AK44))</f>
        <v/>
      </c>
      <c r="J44" s="56" t="str">
        <f t="shared" ca="1" si="25"/>
        <v/>
      </c>
      <c r="K44" s="56" t="str">
        <f>IF(C44="","",SUMIF($O$10:$AA$10,$K$11,O44:AA44))</f>
        <v/>
      </c>
      <c r="L44" s="57" t="str">
        <f>IF(C44="","",J44+K44)</f>
        <v/>
      </c>
      <c r="M44" s="30"/>
      <c r="N44" s="94"/>
      <c r="O44" s="87" t="str">
        <f ca="1">IFERROR(IF(C44&lt;&gt;"",IF($O$10="IST",SUMIF(INDIRECT("'"&amp;$O$11&amp;"'!"&amp;$H$7),C44,INDIRECT("'"&amp;$O$11&amp;"'!"&amp;$K$7))),""),"")</f>
        <v/>
      </c>
      <c r="P44" s="94"/>
      <c r="Q44" s="57" t="str">
        <f ca="1">IFERROR(IF(C44&lt;&gt;"",IF($Q$10="IST",SUMIF(INDIRECT("'"&amp;$Q$11&amp;"'!"&amp;$H$7),C44,INDIRECT("'"&amp;$Q$11&amp;"'!"&amp;$K$7))),""),"")</f>
        <v/>
      </c>
      <c r="R44" s="95"/>
      <c r="S44" s="87" t="str">
        <f ca="1">IFERROR(IF(C44&lt;&gt;"",IF($S$10="IST",SUMIF(INDIRECT("'"&amp;$S$11&amp;"'!"&amp;$H$7),C44,INDIRECT("'"&amp;$S$11&amp;"'!"&amp;$K$7))),""),"")</f>
        <v/>
      </c>
      <c r="T44" s="94"/>
      <c r="U44" s="57" t="str">
        <f ca="1">IFERROR(IF(C44&lt;&gt;"",IF($U$10="IST",SUMIF(INDIRECT("'"&amp;$U$11&amp;"'!"&amp;$H$7),C44,INDIRECT("'"&amp;$U$11&amp;"'!"&amp;$K$7))),""),"")</f>
        <v/>
      </c>
      <c r="V44" s="95"/>
      <c r="W44" s="87" t="str">
        <f ca="1">IFERROR(IF(C44&lt;&gt;"",IF($W$10="IST",SUMIF(INDIRECT("'"&amp;$W$11&amp;"'!"&amp;$H$7),C44,INDIRECT("'"&amp;$W$11&amp;"'!"&amp;$K$7))),""),"")</f>
        <v/>
      </c>
      <c r="X44" s="94"/>
      <c r="Y44" s="57" t="str">
        <f ca="1">IFERROR(IF(C44&lt;&gt;"",IF($Y$10="IST",SUMIF(INDIRECT("'"&amp;$Y$11&amp;"'!"&amp;$H$7),C44,INDIRECT("'"&amp;$Y$11&amp;"'!"&amp;$K$7))),""),"")</f>
        <v/>
      </c>
      <c r="Z44" s="95"/>
      <c r="AA44" s="87" t="str">
        <f ca="1">IFERROR(IF(C44&lt;&gt;"",IF($AA$10="IST",SUMIF(INDIRECT("'"&amp;$AA$11&amp;"'!"&amp;$H$7),C44,INDIRECT("'"&amp;$AA$11&amp;"'!"&amp;$K$7))),""),"")</f>
        <v/>
      </c>
      <c r="AB44" s="94"/>
      <c r="AC44" s="57" t="str">
        <f ca="1">IFERROR(IF(C44&lt;&gt;"",IF($AC$10="IST",SUMIF(INDIRECT("'"&amp;$AC$11&amp;"'!"&amp;$H$7),C44,INDIRECT("'"&amp;$AC$11&amp;"'!"&amp;$K$7))),""),"")</f>
        <v/>
      </c>
      <c r="AD44" s="95"/>
      <c r="AE44" s="87" t="str">
        <f ca="1">IFERROR(IF(C44&lt;&gt;"",IF($AE$10="IST",SUMIF(INDIRECT("'"&amp;$AE$11&amp;"'!"&amp;$H$7),C44,INDIRECT("'"&amp;$AE$11&amp;"'!"&amp;$K$7))),""),"")</f>
        <v/>
      </c>
      <c r="AF44" s="94"/>
      <c r="AG44" s="57" t="str">
        <f ca="1">IFERROR(IF(C44&lt;&gt;"",IF($AG$10="IST",SUMIF(INDIRECT("'"&amp;$AG$11&amp;"'!"&amp;$H$7),C44,INDIRECT("'"&amp;$AG$11&amp;"'!"&amp;$K$7))),""),"")</f>
        <v/>
      </c>
      <c r="AH44" s="95"/>
      <c r="AI44" s="87" t="str">
        <f ca="1">IFERROR(IF(C44&lt;&gt;"",IF($AI$10="IST",SUMIF(INDIRECT("'"&amp;$AI$11&amp;"'!"&amp;$H$7),C44,INDIRECT("'"&amp;$AI$11&amp;"'!"&amp;$K$7))),""),"")</f>
        <v/>
      </c>
      <c r="AJ44" s="94"/>
      <c r="AK44" s="57" t="str">
        <f ca="1">IFERROR(IF(C44&lt;&gt;"",IF($AK$10="IST",SUMIF(INDIRECT("'"&amp;$AK$11&amp;"'!"&amp;$H$7),C44,INDIRECT("'"&amp;$AK$11&amp;"'!"&amp;$K$7))),""),"")</f>
        <v/>
      </c>
    </row>
    <row r="45" spans="1:37" x14ac:dyDescent="0.25">
      <c r="A45" s="29"/>
      <c r="B45" s="100"/>
      <c r="C45" s="101"/>
      <c r="D45" s="102"/>
      <c r="E45" s="102"/>
      <c r="F45" s="102"/>
      <c r="G45" s="102"/>
      <c r="H45" s="56" t="str">
        <f t="shared" si="24"/>
        <v/>
      </c>
      <c r="I45" s="56" t="str">
        <f>IF(C45="","",SUMIF($N$10:$AK$10,$I$11,N45:AK45))</f>
        <v/>
      </c>
      <c r="J45" s="56" t="str">
        <f t="shared" ca="1" si="25"/>
        <v/>
      </c>
      <c r="K45" s="56" t="str">
        <f>IF(C45="","",SUMIF($O$10:$AA$10,$K$11,O45:AA45))</f>
        <v/>
      </c>
      <c r="L45" s="57" t="str">
        <f>IF(C45="","",J45+K45)</f>
        <v/>
      </c>
      <c r="M45" s="30"/>
      <c r="N45" s="94"/>
      <c r="O45" s="87" t="str">
        <f ca="1">IFERROR(IF(C45&lt;&gt;"",IF($O$10="IST",SUMIF(INDIRECT("'"&amp;$O$11&amp;"'!"&amp;$H$7),C45,INDIRECT("'"&amp;$O$11&amp;"'!"&amp;$K$7))),""),"")</f>
        <v/>
      </c>
      <c r="P45" s="94"/>
      <c r="Q45" s="57" t="str">
        <f ca="1">IFERROR(IF(C45&lt;&gt;"",IF($Q$10="IST",SUMIF(INDIRECT("'"&amp;$Q$11&amp;"'!"&amp;$H$7),C45,INDIRECT("'"&amp;$Q$11&amp;"'!"&amp;$K$7))),""),"")</f>
        <v/>
      </c>
      <c r="R45" s="95"/>
      <c r="S45" s="87" t="str">
        <f ca="1">IFERROR(IF(C45&lt;&gt;"",IF($S$10="IST",SUMIF(INDIRECT("'"&amp;$S$11&amp;"'!"&amp;$H$7),C45,INDIRECT("'"&amp;$S$11&amp;"'!"&amp;$K$7))),""),"")</f>
        <v/>
      </c>
      <c r="T45" s="94"/>
      <c r="U45" s="57" t="str">
        <f ca="1">IFERROR(IF(C45&lt;&gt;"",IF($U$10="IST",SUMIF(INDIRECT("'"&amp;$U$11&amp;"'!"&amp;$H$7),C45,INDIRECT("'"&amp;$U$11&amp;"'!"&amp;$K$7))),""),"")</f>
        <v/>
      </c>
      <c r="V45" s="95"/>
      <c r="W45" s="87" t="str">
        <f ca="1">IFERROR(IF(C45&lt;&gt;"",IF($W$10="IST",SUMIF(INDIRECT("'"&amp;$W$11&amp;"'!"&amp;$H$7),C45,INDIRECT("'"&amp;$W$11&amp;"'!"&amp;$K$7))),""),"")</f>
        <v/>
      </c>
      <c r="X45" s="94"/>
      <c r="Y45" s="57" t="str">
        <f ca="1">IFERROR(IF(C45&lt;&gt;"",IF($Y$10="IST",SUMIF(INDIRECT("'"&amp;$Y$11&amp;"'!"&amp;$H$7),C45,INDIRECT("'"&amp;$Y$11&amp;"'!"&amp;$K$7))),""),"")</f>
        <v/>
      </c>
      <c r="Z45" s="95"/>
      <c r="AA45" s="87" t="str">
        <f ca="1">IFERROR(IF(C45&lt;&gt;"",IF($AA$10="IST",SUMIF(INDIRECT("'"&amp;$AA$11&amp;"'!"&amp;$H$7),C45,INDIRECT("'"&amp;$AA$11&amp;"'!"&amp;$K$7))),""),"")</f>
        <v/>
      </c>
      <c r="AB45" s="94"/>
      <c r="AC45" s="57" t="str">
        <f ca="1">IFERROR(IF(C45&lt;&gt;"",IF($AC$10="IST",SUMIF(INDIRECT("'"&amp;$AC$11&amp;"'!"&amp;$H$7),C45,INDIRECT("'"&amp;$AC$11&amp;"'!"&amp;$K$7))),""),"")</f>
        <v/>
      </c>
      <c r="AD45" s="95"/>
      <c r="AE45" s="87" t="str">
        <f ca="1">IFERROR(IF(C45&lt;&gt;"",IF($AE$10="IST",SUMIF(INDIRECT("'"&amp;$AE$11&amp;"'!"&amp;$H$7),C45,INDIRECT("'"&amp;$AE$11&amp;"'!"&amp;$K$7))),""),"")</f>
        <v/>
      </c>
      <c r="AF45" s="94"/>
      <c r="AG45" s="57" t="str">
        <f ca="1">IFERROR(IF(C45&lt;&gt;"",IF($AG$10="IST",SUMIF(INDIRECT("'"&amp;$AG$11&amp;"'!"&amp;$H$7),C45,INDIRECT("'"&amp;$AG$11&amp;"'!"&amp;$K$7))),""),"")</f>
        <v/>
      </c>
      <c r="AH45" s="95"/>
      <c r="AI45" s="87" t="str">
        <f ca="1">IFERROR(IF(C45&lt;&gt;"",IF($AI$10="IST",SUMIF(INDIRECT("'"&amp;$AI$11&amp;"'!"&amp;$H$7),C45,INDIRECT("'"&amp;$AI$11&amp;"'!"&amp;$K$7))),""),"")</f>
        <v/>
      </c>
      <c r="AJ45" s="94"/>
      <c r="AK45" s="57" t="str">
        <f ca="1">IFERROR(IF(C45&lt;&gt;"",IF($AK$10="IST",SUMIF(INDIRECT("'"&amp;$AK$11&amp;"'!"&amp;$H$7),C45,INDIRECT("'"&amp;$AK$11&amp;"'!"&amp;$K$7))),""),"")</f>
        <v/>
      </c>
    </row>
    <row r="46" spans="1:37" x14ac:dyDescent="0.25">
      <c r="A46" s="29"/>
      <c r="B46" s="100"/>
      <c r="C46" s="101"/>
      <c r="D46" s="102"/>
      <c r="E46" s="102"/>
      <c r="F46" s="102"/>
      <c r="G46" s="102"/>
      <c r="H46" s="56" t="str">
        <f t="shared" si="24"/>
        <v/>
      </c>
      <c r="I46" s="56" t="str">
        <f>IF(C46="","",SUMIF($N$10:$AK$10,$I$11,N46:AK46))</f>
        <v/>
      </c>
      <c r="J46" s="56" t="str">
        <f t="shared" ca="1" si="25"/>
        <v/>
      </c>
      <c r="K46" s="56" t="str">
        <f>IF(C46="","",SUMIF($O$10:$AA$10,$K$11,O46:AA46))</f>
        <v/>
      </c>
      <c r="L46" s="57" t="str">
        <f>IF(C46="","",J46+K46)</f>
        <v/>
      </c>
      <c r="M46" s="30"/>
      <c r="N46" s="94"/>
      <c r="O46" s="87" t="str">
        <f ca="1">IFERROR(IF(C46&lt;&gt;"",IF($O$10="IST",SUMIF(INDIRECT("'"&amp;$O$11&amp;"'!"&amp;$H$7),C46,INDIRECT("'"&amp;$O$11&amp;"'!"&amp;$K$7))),""),"")</f>
        <v/>
      </c>
      <c r="P46" s="94"/>
      <c r="Q46" s="57" t="str">
        <f ca="1">IFERROR(IF(C46&lt;&gt;"",IF($Q$10="IST",SUMIF(INDIRECT("'"&amp;$Q$11&amp;"'!"&amp;$H$7),C46,INDIRECT("'"&amp;$Q$11&amp;"'!"&amp;$K$7))),""),"")</f>
        <v/>
      </c>
      <c r="R46" s="95"/>
      <c r="S46" s="87" t="str">
        <f ca="1">IFERROR(IF(C46&lt;&gt;"",IF($S$10="IST",SUMIF(INDIRECT("'"&amp;$S$11&amp;"'!"&amp;$H$7),C46,INDIRECT("'"&amp;$S$11&amp;"'!"&amp;$K$7))),""),"")</f>
        <v/>
      </c>
      <c r="T46" s="94"/>
      <c r="U46" s="57" t="str">
        <f ca="1">IFERROR(IF(C46&lt;&gt;"",IF($U$10="IST",SUMIF(INDIRECT("'"&amp;$U$11&amp;"'!"&amp;$H$7),C46,INDIRECT("'"&amp;$U$11&amp;"'!"&amp;$K$7))),""),"")</f>
        <v/>
      </c>
      <c r="V46" s="95"/>
      <c r="W46" s="87" t="str">
        <f ca="1">IFERROR(IF(C46&lt;&gt;"",IF($W$10="IST",SUMIF(INDIRECT("'"&amp;$W$11&amp;"'!"&amp;$H$7),C46,INDIRECT("'"&amp;$W$11&amp;"'!"&amp;$K$7))),""),"")</f>
        <v/>
      </c>
      <c r="X46" s="94"/>
      <c r="Y46" s="57" t="str">
        <f ca="1">IFERROR(IF(C46&lt;&gt;"",IF($Y$10="IST",SUMIF(INDIRECT("'"&amp;$Y$11&amp;"'!"&amp;$H$7),C46,INDIRECT("'"&amp;$Y$11&amp;"'!"&amp;$K$7))),""),"")</f>
        <v/>
      </c>
      <c r="Z46" s="95"/>
      <c r="AA46" s="87" t="str">
        <f ca="1">IFERROR(IF(C46&lt;&gt;"",IF($AA$10="IST",SUMIF(INDIRECT("'"&amp;$AA$11&amp;"'!"&amp;$H$7),C46,INDIRECT("'"&amp;$AA$11&amp;"'!"&amp;$K$7))),""),"")</f>
        <v/>
      </c>
      <c r="AB46" s="94"/>
      <c r="AC46" s="57" t="str">
        <f ca="1">IFERROR(IF(C46&lt;&gt;"",IF($AC$10="IST",SUMIF(INDIRECT("'"&amp;$AC$11&amp;"'!"&amp;$H$7),C46,INDIRECT("'"&amp;$AC$11&amp;"'!"&amp;$K$7))),""),"")</f>
        <v/>
      </c>
      <c r="AD46" s="95"/>
      <c r="AE46" s="87" t="str">
        <f ca="1">IFERROR(IF(C46&lt;&gt;"",IF($AE$10="IST",SUMIF(INDIRECT("'"&amp;$AE$11&amp;"'!"&amp;$H$7),C46,INDIRECT("'"&amp;$AE$11&amp;"'!"&amp;$K$7))),""),"")</f>
        <v/>
      </c>
      <c r="AF46" s="94"/>
      <c r="AG46" s="57" t="str">
        <f ca="1">IFERROR(IF(C46&lt;&gt;"",IF($AG$10="IST",SUMIF(INDIRECT("'"&amp;$AG$11&amp;"'!"&amp;$H$7),C46,INDIRECT("'"&amp;$AG$11&amp;"'!"&amp;$K$7))),""),"")</f>
        <v/>
      </c>
      <c r="AH46" s="95"/>
      <c r="AI46" s="87" t="str">
        <f ca="1">IFERROR(IF(C46&lt;&gt;"",IF($AI$10="IST",SUMIF(INDIRECT("'"&amp;$AI$11&amp;"'!"&amp;$H$7),C46,INDIRECT("'"&amp;$AI$11&amp;"'!"&amp;$K$7))),""),"")</f>
        <v/>
      </c>
      <c r="AJ46" s="94"/>
      <c r="AK46" s="57" t="str">
        <f ca="1">IFERROR(IF(C46&lt;&gt;"",IF($AK$10="IST",SUMIF(INDIRECT("'"&amp;$AK$11&amp;"'!"&amp;$H$7),C46,INDIRECT("'"&amp;$AK$11&amp;"'!"&amp;$K$7))),""),"")</f>
        <v/>
      </c>
    </row>
    <row r="47" spans="1:37" x14ac:dyDescent="0.25">
      <c r="A47" s="29"/>
      <c r="B47" s="103"/>
      <c r="C47" s="104"/>
      <c r="D47" s="105"/>
      <c r="E47" s="105"/>
      <c r="F47" s="105"/>
      <c r="G47" s="105"/>
      <c r="H47" s="58" t="str">
        <f t="shared" si="24"/>
        <v/>
      </c>
      <c r="I47" s="58" t="str">
        <f>IF(C47="","",SUMIF($N$10:$AK$10,$I$11,N47:AK47))</f>
        <v/>
      </c>
      <c r="J47" s="58" t="str">
        <f t="shared" ca="1" si="25"/>
        <v/>
      </c>
      <c r="K47" s="58" t="str">
        <f>IF(C47="","",SUMIF($O$10:$AA$10,$K$11,O47:AA47))</f>
        <v/>
      </c>
      <c r="L47" s="59" t="str">
        <f>IF(C47="","",J47+K47)</f>
        <v/>
      </c>
      <c r="M47" s="30"/>
      <c r="N47" s="94"/>
      <c r="O47" s="87" t="str">
        <f ca="1">IFERROR(IF(C47&lt;&gt;"",IF($O$10="IST",SUMIF(INDIRECT("'"&amp;$O$11&amp;"'!"&amp;$H$7),C47,INDIRECT("'"&amp;$O$11&amp;"'!"&amp;$K$7))),""),"")</f>
        <v/>
      </c>
      <c r="P47" s="94"/>
      <c r="Q47" s="57" t="str">
        <f ca="1">IFERROR(IF(C47&lt;&gt;"",IF($Q$10="IST",SUMIF(INDIRECT("'"&amp;$Q$11&amp;"'!"&amp;$H$7),C47,INDIRECT("'"&amp;$Q$11&amp;"'!"&amp;$K$7))),""),"")</f>
        <v/>
      </c>
      <c r="R47" s="95"/>
      <c r="S47" s="87" t="str">
        <f ca="1">IFERROR(IF(C47&lt;&gt;"",IF($S$10="IST",SUMIF(INDIRECT("'"&amp;$S$11&amp;"'!"&amp;$H$7),C47,INDIRECT("'"&amp;$S$11&amp;"'!"&amp;$K$7))),""),"")</f>
        <v/>
      </c>
      <c r="T47" s="94"/>
      <c r="U47" s="57" t="str">
        <f ca="1">IFERROR(IF(C47&lt;&gt;"",IF($U$10="IST",SUMIF(INDIRECT("'"&amp;$U$11&amp;"'!"&amp;$H$7),C47,INDIRECT("'"&amp;$U$11&amp;"'!"&amp;$K$7))),""),"")</f>
        <v/>
      </c>
      <c r="V47" s="95"/>
      <c r="W47" s="87" t="str">
        <f ca="1">IFERROR(IF(C47&lt;&gt;"",IF($W$10="IST",SUMIF(INDIRECT("'"&amp;$W$11&amp;"'!"&amp;$H$7),C47,INDIRECT("'"&amp;$W$11&amp;"'!"&amp;$K$7))),""),"")</f>
        <v/>
      </c>
      <c r="X47" s="94"/>
      <c r="Y47" s="57" t="str">
        <f ca="1">IFERROR(IF(C47&lt;&gt;"",IF($Y$10="IST",SUMIF(INDIRECT("'"&amp;$Y$11&amp;"'!"&amp;$H$7),C47,INDIRECT("'"&amp;$Y$11&amp;"'!"&amp;$K$7))),""),"")</f>
        <v/>
      </c>
      <c r="Z47" s="95"/>
      <c r="AA47" s="87" t="str">
        <f ca="1">IFERROR(IF(C47&lt;&gt;"",IF($AA$10="IST",SUMIF(INDIRECT("'"&amp;$AA$11&amp;"'!"&amp;$H$7),C47,INDIRECT("'"&amp;$AA$11&amp;"'!"&amp;$K$7))),""),"")</f>
        <v/>
      </c>
      <c r="AB47" s="94"/>
      <c r="AC47" s="57" t="str">
        <f ca="1">IFERROR(IF(C47&lt;&gt;"",IF($AC$10="IST",SUMIF(INDIRECT("'"&amp;$AC$11&amp;"'!"&amp;$H$7),C47,INDIRECT("'"&amp;$AC$11&amp;"'!"&amp;$K$7))),""),"")</f>
        <v/>
      </c>
      <c r="AD47" s="95"/>
      <c r="AE47" s="87" t="str">
        <f ca="1">IFERROR(IF(C47&lt;&gt;"",IF($AE$10="IST",SUMIF(INDIRECT("'"&amp;$AE$11&amp;"'!"&amp;$H$7),C47,INDIRECT("'"&amp;$AE$11&amp;"'!"&amp;$K$7))),""),"")</f>
        <v/>
      </c>
      <c r="AF47" s="94"/>
      <c r="AG47" s="57" t="str">
        <f ca="1">IFERROR(IF(C47&lt;&gt;"",IF($AG$10="IST",SUMIF(INDIRECT("'"&amp;$AG$11&amp;"'!"&amp;$H$7),C47,INDIRECT("'"&amp;$AG$11&amp;"'!"&amp;$K$7))),""),"")</f>
        <v/>
      </c>
      <c r="AH47" s="95"/>
      <c r="AI47" s="87" t="str">
        <f ca="1">IFERROR(IF(C47&lt;&gt;"",IF($AI$10="IST",SUMIF(INDIRECT("'"&amp;$AI$11&amp;"'!"&amp;$H$7),C47,INDIRECT("'"&amp;$AI$11&amp;"'!"&amp;$K$7))),""),"")</f>
        <v/>
      </c>
      <c r="AJ47" s="94"/>
      <c r="AK47" s="57" t="str">
        <f ca="1">IFERROR(IF(C47&lt;&gt;"",IF($AK$10="IST",SUMIF(INDIRECT("'"&amp;$AK$11&amp;"'!"&amp;$H$7),C47,INDIRECT("'"&amp;$AK$11&amp;"'!"&amp;$K$7))),""),"")</f>
        <v/>
      </c>
    </row>
    <row r="48" spans="1:37" x14ac:dyDescent="0.25">
      <c r="A48" s="26"/>
      <c r="H48" s="38">
        <f t="shared" ref="H48:L48" si="26">SUM(H11:H47)</f>
        <v>30</v>
      </c>
      <c r="I48" s="82">
        <f t="shared" si="26"/>
        <v>35</v>
      </c>
      <c r="J48" s="82"/>
      <c r="K48" s="37">
        <f t="shared" ca="1" si="26"/>
        <v>32</v>
      </c>
      <c r="L48" s="39">
        <f t="shared" ca="1" si="26"/>
        <v>44</v>
      </c>
      <c r="M48" s="35"/>
      <c r="N48" s="85">
        <f t="shared" ref="N48" si="27">SUM(N11:N47)</f>
        <v>9</v>
      </c>
      <c r="O48" s="90">
        <f t="shared" ref="O48:AA48" ca="1" si="28">SUM(O11:O47)</f>
        <v>32</v>
      </c>
      <c r="P48" s="85">
        <f t="shared" si="28"/>
        <v>5</v>
      </c>
      <c r="Q48" s="86">
        <f t="shared" ref="Q48" ca="1" si="29">SUM(Q11:Q47)</f>
        <v>0</v>
      </c>
      <c r="R48" s="93">
        <f t="shared" si="28"/>
        <v>3</v>
      </c>
      <c r="S48" s="90">
        <f t="shared" ca="1" si="28"/>
        <v>0</v>
      </c>
      <c r="T48" s="85">
        <f t="shared" si="28"/>
        <v>4</v>
      </c>
      <c r="U48" s="86">
        <f t="shared" ca="1" si="28"/>
        <v>0</v>
      </c>
      <c r="V48" s="93">
        <f t="shared" si="28"/>
        <v>0</v>
      </c>
      <c r="W48" s="90">
        <f t="shared" ca="1" si="28"/>
        <v>0</v>
      </c>
      <c r="X48" s="85">
        <f t="shared" si="28"/>
        <v>2</v>
      </c>
      <c r="Y48" s="86">
        <f t="shared" ca="1" si="28"/>
        <v>0</v>
      </c>
      <c r="Z48" s="93">
        <f t="shared" si="28"/>
        <v>3</v>
      </c>
      <c r="AA48" s="90">
        <f t="shared" ca="1" si="28"/>
        <v>0</v>
      </c>
      <c r="AB48" s="85">
        <f t="shared" ref="AB48:AK48" si="30">SUM(AB11:AB47)</f>
        <v>9</v>
      </c>
      <c r="AC48" s="86">
        <f t="shared" ca="1" si="30"/>
        <v>0</v>
      </c>
      <c r="AD48" s="93">
        <f t="shared" si="30"/>
        <v>0</v>
      </c>
      <c r="AE48" s="90">
        <f t="shared" ca="1" si="30"/>
        <v>0</v>
      </c>
      <c r="AF48" s="85">
        <f t="shared" si="30"/>
        <v>0</v>
      </c>
      <c r="AG48" s="86">
        <f t="shared" ca="1" si="30"/>
        <v>0</v>
      </c>
      <c r="AH48" s="93">
        <f t="shared" si="30"/>
        <v>0</v>
      </c>
      <c r="AI48" s="90">
        <f t="shared" ca="1" si="30"/>
        <v>0</v>
      </c>
      <c r="AJ48" s="85">
        <f t="shared" si="30"/>
        <v>0</v>
      </c>
      <c r="AK48" s="86">
        <f t="shared" ca="1" si="30"/>
        <v>0</v>
      </c>
    </row>
    <row r="49" spans="1:1" x14ac:dyDescent="0.25">
      <c r="A49" s="26"/>
    </row>
    <row r="50" spans="1:1" x14ac:dyDescent="0.25">
      <c r="A50" s="26"/>
    </row>
    <row r="51" spans="1:1" x14ac:dyDescent="0.25">
      <c r="A51" s="26"/>
    </row>
  </sheetData>
  <autoFilter ref="B11:C48" xr:uid="{C46F6B9F-BC5F-4966-9E2C-56F198E7E826}"/>
  <pageMargins left="0.7" right="0.7" top="0.78740157499999996" bottom="0.78740157499999996" header="0.3" footer="0.3"/>
  <pageSetup paperSize="9" scale="3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abelle4.Hide_Columns_Containing_Value">
                <anchor moveWithCells="1" sizeWithCells="1">
                  <from>
                    <xdr:col>4</xdr:col>
                    <xdr:colOff>276225</xdr:colOff>
                    <xdr:row>0</xdr:row>
                    <xdr:rowOff>171450</xdr:rowOff>
                  </from>
                  <to>
                    <xdr:col>6</xdr:col>
                    <xdr:colOff>371475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abelle4.Unhide_Columns_Containing_Value">
                <anchor moveWithCells="1" sizeWithCells="1">
                  <from>
                    <xdr:col>4</xdr:col>
                    <xdr:colOff>276225</xdr:colOff>
                    <xdr:row>2</xdr:row>
                    <xdr:rowOff>200025</xdr:rowOff>
                  </from>
                  <to>
                    <xdr:col>6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B5424-E50D-4FBF-ADE6-C58AD36B0B99}">
  <sheetPr codeName="Tabelle5">
    <tabColor theme="7" tint="0.59999389629810485"/>
    <pageSetUpPr fitToPage="1"/>
  </sheetPr>
  <dimension ref="A1:DH46"/>
  <sheetViews>
    <sheetView showGridLines="0" zoomScale="90" zoomScaleNormal="90" workbookViewId="0">
      <selection activeCell="E6" sqref="E6"/>
    </sheetView>
  </sheetViews>
  <sheetFormatPr baseColWidth="10" defaultRowHeight="15" x14ac:dyDescent="0.25"/>
  <cols>
    <col min="1" max="1" width="5.7109375" customWidth="1"/>
    <col min="2" max="2" width="25.28515625" customWidth="1"/>
    <col min="3" max="3" width="50.140625" customWidth="1"/>
    <col min="4" max="4" width="21" customWidth="1"/>
    <col min="5" max="5" width="125" customWidth="1"/>
  </cols>
  <sheetData>
    <row r="1" spans="1:1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</row>
    <row r="2" spans="1:112" ht="15.75" x14ac:dyDescent="0.25">
      <c r="A2" s="1"/>
      <c r="B2" s="21" t="s">
        <v>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</row>
    <row r="3" spans="1:112" ht="15.75" x14ac:dyDescent="0.25">
      <c r="A3" s="1"/>
      <c r="B3" s="21" t="str">
        <f>IF(Übersicht!D8="","",Übersicht!D8)</f>
        <v>ADxxxxx_XXXXXXXXXX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</row>
    <row r="4" spans="1:112" ht="21" x14ac:dyDescent="0.35">
      <c r="A4" s="1"/>
      <c r="B4" s="16" t="s">
        <v>10</v>
      </c>
      <c r="C4" s="23">
        <v>43101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</row>
    <row r="5" spans="1:11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</row>
    <row r="7" spans="1:112" x14ac:dyDescent="0.25">
      <c r="C7" s="52" t="str">
        <f>CONCATENATE("Hinweis: Tagessatz ",Übersicht!D36,"; Reisekosten ",Übersicht!D37,Übersicht!N37,Übersicht!D38,Übersicht!N38,Übersicht!D39,Übersicht!N39,Übersicht!D40,Übersicht!N40)</f>
        <v>Hinweis: Tagessatz 1.300EUR; Reisekosten gem. Kilometerpauschale (690km à 0,4EUR);Hotel wird vom Kunden gestellt</v>
      </c>
    </row>
    <row r="8" spans="1:112" x14ac:dyDescent="0.25">
      <c r="B8" s="45" t="s">
        <v>14</v>
      </c>
      <c r="C8" s="46" t="s">
        <v>15</v>
      </c>
      <c r="D8" s="31" t="str">
        <f>"Geleistete "&amp;Übersicht!$D$34</f>
        <v>Geleistete Stunden</v>
      </c>
      <c r="E8" s="31" t="s">
        <v>9</v>
      </c>
      <c r="I8" s="22"/>
      <c r="J8" s="22"/>
      <c r="K8" s="22"/>
    </row>
    <row r="9" spans="1:112" x14ac:dyDescent="0.25">
      <c r="B9" s="61" t="str">
        <f>IF(Gesamtprojekt!B12="","",Gesamtprojekt!B12)</f>
        <v>SX DataFactory</v>
      </c>
      <c r="C9" s="62" t="str">
        <f>IF(Gesamtprojekt!C12="","",Gesamtprojekt!C12)</f>
        <v>Personalplanung</v>
      </c>
      <c r="D9" s="40">
        <v>20</v>
      </c>
      <c r="E9" s="32"/>
    </row>
    <row r="10" spans="1:112" x14ac:dyDescent="0.25">
      <c r="B10" s="63" t="str">
        <f>IF(Gesamtprojekt!B13="","",Gesamtprojekt!B13)</f>
        <v/>
      </c>
      <c r="C10" s="64" t="str">
        <f>IF(Gesamtprojekt!C13="","",Gesamtprojekt!C13)</f>
        <v>Vertragsverwaltung</v>
      </c>
      <c r="D10" s="41">
        <v>10</v>
      </c>
      <c r="E10" s="33"/>
    </row>
    <row r="11" spans="1:112" x14ac:dyDescent="0.25">
      <c r="B11" s="63" t="str">
        <f>IF(Gesamtprojekt!B14="","",Gesamtprojekt!B14)</f>
        <v/>
      </c>
      <c r="C11" s="64" t="str">
        <f>IF(Gesamtprojekt!C14="","",Gesamtprojekt!C14)</f>
        <v/>
      </c>
      <c r="D11" s="41"/>
      <c r="E11" s="33"/>
    </row>
    <row r="12" spans="1:112" x14ac:dyDescent="0.25">
      <c r="B12" s="63" t="str">
        <f>IF(Gesamtprojekt!B15="","",Gesamtprojekt!B15)</f>
        <v>SX Integrator</v>
      </c>
      <c r="C12" s="64" t="str">
        <f>IF(Gesamtprojekt!C15="","",Gesamtprojekt!C15)</f>
        <v>DATEV-Schnittstelle</v>
      </c>
      <c r="D12" s="41">
        <v>2</v>
      </c>
      <c r="E12" s="33"/>
    </row>
    <row r="13" spans="1:112" x14ac:dyDescent="0.25">
      <c r="B13" s="63" t="str">
        <f>IF(Gesamtprojekt!B16="","",Gesamtprojekt!B16)</f>
        <v/>
      </c>
      <c r="C13" s="64" t="str">
        <f>IF(Gesamtprojekt!C16="","",Gesamtprojekt!C16)</f>
        <v/>
      </c>
      <c r="D13" s="41"/>
      <c r="E13" s="33"/>
    </row>
    <row r="14" spans="1:112" x14ac:dyDescent="0.25">
      <c r="B14" s="63" t="str">
        <f>IF(Gesamtprojekt!B17="","",Gesamtprojekt!B17)</f>
        <v/>
      </c>
      <c r="C14" s="64" t="str">
        <f>IF(Gesamtprojekt!C17="","",Gesamtprojekt!C17)</f>
        <v/>
      </c>
      <c r="D14" s="41"/>
      <c r="E14" s="33"/>
    </row>
    <row r="15" spans="1:112" x14ac:dyDescent="0.25">
      <c r="B15" s="63" t="str">
        <f>IF(Gesamtprojekt!B18="","",Gesamtprojekt!B18)</f>
        <v/>
      </c>
      <c r="C15" s="64" t="str">
        <f>IF(Gesamtprojekt!C18="","",Gesamtprojekt!C18)</f>
        <v/>
      </c>
      <c r="D15" s="41"/>
      <c r="E15" s="33"/>
    </row>
    <row r="16" spans="1:112" x14ac:dyDescent="0.25">
      <c r="B16" s="63" t="str">
        <f>IF(Gesamtprojekt!B19="","",Gesamtprojekt!B19)</f>
        <v/>
      </c>
      <c r="C16" s="64" t="str">
        <f>IF(Gesamtprojekt!C19="","",Gesamtprojekt!C19)</f>
        <v/>
      </c>
      <c r="D16" s="41"/>
      <c r="E16" s="33"/>
    </row>
    <row r="17" spans="2:5" x14ac:dyDescent="0.25">
      <c r="B17" s="63" t="str">
        <f>IF(Gesamtprojekt!B20="","",Gesamtprojekt!B20)</f>
        <v/>
      </c>
      <c r="C17" s="64" t="str">
        <f>IF(Gesamtprojekt!C20="","",Gesamtprojekt!C20)</f>
        <v/>
      </c>
      <c r="D17" s="41"/>
      <c r="E17" s="33"/>
    </row>
    <row r="18" spans="2:5" x14ac:dyDescent="0.25">
      <c r="B18" s="63" t="str">
        <f>IF(Gesamtprojekt!B21="","",Gesamtprojekt!B21)</f>
        <v/>
      </c>
      <c r="C18" s="64" t="str">
        <f>IF(Gesamtprojekt!C21="","",Gesamtprojekt!C21)</f>
        <v/>
      </c>
      <c r="D18" s="41"/>
      <c r="E18" s="33"/>
    </row>
    <row r="19" spans="2:5" x14ac:dyDescent="0.25">
      <c r="B19" s="63" t="str">
        <f>IF(Gesamtprojekt!B22="","",Gesamtprojekt!B22)</f>
        <v/>
      </c>
      <c r="C19" s="64" t="str">
        <f>IF(Gesamtprojekt!C22="","",Gesamtprojekt!C22)</f>
        <v/>
      </c>
      <c r="D19" s="41"/>
      <c r="E19" s="33"/>
    </row>
    <row r="20" spans="2:5" x14ac:dyDescent="0.25">
      <c r="B20" s="63" t="str">
        <f>IF(Gesamtprojekt!B23="","",Gesamtprojekt!B23)</f>
        <v/>
      </c>
      <c r="C20" s="64" t="str">
        <f>IF(Gesamtprojekt!C23="","",Gesamtprojekt!C23)</f>
        <v/>
      </c>
      <c r="D20" s="41"/>
      <c r="E20" s="33"/>
    </row>
    <row r="21" spans="2:5" x14ac:dyDescent="0.25">
      <c r="B21" s="63" t="str">
        <f>IF(Gesamtprojekt!B24="","",Gesamtprojekt!B24)</f>
        <v/>
      </c>
      <c r="C21" s="64" t="str">
        <f>IF(Gesamtprojekt!C24="","",Gesamtprojekt!C24)</f>
        <v/>
      </c>
      <c r="D21" s="41"/>
      <c r="E21" s="33"/>
    </row>
    <row r="22" spans="2:5" x14ac:dyDescent="0.25">
      <c r="B22" s="63" t="str">
        <f>IF(Gesamtprojekt!B25="","",Gesamtprojekt!B25)</f>
        <v/>
      </c>
      <c r="C22" s="64" t="str">
        <f>IF(Gesamtprojekt!C25="","",Gesamtprojekt!C25)</f>
        <v/>
      </c>
      <c r="D22" s="41"/>
      <c r="E22" s="33"/>
    </row>
    <row r="23" spans="2:5" x14ac:dyDescent="0.25">
      <c r="B23" s="63" t="str">
        <f>IF(Gesamtprojekt!B26="","",Gesamtprojekt!B26)</f>
        <v/>
      </c>
      <c r="C23" s="64" t="str">
        <f>IF(Gesamtprojekt!C26="","",Gesamtprojekt!C26)</f>
        <v/>
      </c>
      <c r="D23" s="41"/>
      <c r="E23" s="33"/>
    </row>
    <row r="24" spans="2:5" x14ac:dyDescent="0.25">
      <c r="B24" s="63" t="str">
        <f>IF(Gesamtprojekt!B27="","",Gesamtprojekt!B27)</f>
        <v/>
      </c>
      <c r="C24" s="64" t="str">
        <f>IF(Gesamtprojekt!C27="","",Gesamtprojekt!C27)</f>
        <v/>
      </c>
      <c r="D24" s="41"/>
      <c r="E24" s="33"/>
    </row>
    <row r="25" spans="2:5" x14ac:dyDescent="0.25">
      <c r="B25" s="63" t="str">
        <f>IF(Gesamtprojekt!B28="","",Gesamtprojekt!B28)</f>
        <v/>
      </c>
      <c r="C25" s="64" t="str">
        <f>IF(Gesamtprojekt!C28="","",Gesamtprojekt!C28)</f>
        <v/>
      </c>
      <c r="D25" s="41"/>
      <c r="E25" s="33"/>
    </row>
    <row r="26" spans="2:5" x14ac:dyDescent="0.25">
      <c r="B26" s="63" t="str">
        <f>IF(Gesamtprojekt!B29="","",Gesamtprojekt!B29)</f>
        <v/>
      </c>
      <c r="C26" s="64" t="str">
        <f>IF(Gesamtprojekt!C29="","",Gesamtprojekt!C29)</f>
        <v/>
      </c>
      <c r="D26" s="41"/>
      <c r="E26" s="33"/>
    </row>
    <row r="27" spans="2:5" x14ac:dyDescent="0.25">
      <c r="B27" s="63" t="str">
        <f>IF(Gesamtprojekt!B30="","",Gesamtprojekt!B30)</f>
        <v/>
      </c>
      <c r="C27" s="64" t="str">
        <f>IF(Gesamtprojekt!C30="","",Gesamtprojekt!C30)</f>
        <v/>
      </c>
      <c r="D27" s="41"/>
      <c r="E27" s="33"/>
    </row>
    <row r="28" spans="2:5" x14ac:dyDescent="0.25">
      <c r="B28" s="63" t="str">
        <f>IF(Gesamtprojekt!B31="","",Gesamtprojekt!B31)</f>
        <v/>
      </c>
      <c r="C28" s="64" t="str">
        <f>IF(Gesamtprojekt!C31="","",Gesamtprojekt!C31)</f>
        <v/>
      </c>
      <c r="D28" s="41"/>
      <c r="E28" s="33"/>
    </row>
    <row r="29" spans="2:5" x14ac:dyDescent="0.25">
      <c r="B29" s="63" t="str">
        <f>IF(Gesamtprojekt!B32="","",Gesamtprojekt!B32)</f>
        <v/>
      </c>
      <c r="C29" s="64" t="str">
        <f>IF(Gesamtprojekt!C32="","",Gesamtprojekt!C32)</f>
        <v/>
      </c>
      <c r="D29" s="41"/>
      <c r="E29" s="33"/>
    </row>
    <row r="30" spans="2:5" x14ac:dyDescent="0.25">
      <c r="B30" s="63" t="str">
        <f>IF(Gesamtprojekt!B33="","",Gesamtprojekt!B33)</f>
        <v/>
      </c>
      <c r="C30" s="64" t="str">
        <f>IF(Gesamtprojekt!C33="","",Gesamtprojekt!C33)</f>
        <v/>
      </c>
      <c r="D30" s="41"/>
      <c r="E30" s="33"/>
    </row>
    <row r="31" spans="2:5" x14ac:dyDescent="0.25">
      <c r="B31" s="63" t="str">
        <f>IF(Gesamtprojekt!B34="","",Gesamtprojekt!B34)</f>
        <v/>
      </c>
      <c r="C31" s="64" t="str">
        <f>IF(Gesamtprojekt!C34="","",Gesamtprojekt!C34)</f>
        <v/>
      </c>
      <c r="D31" s="41"/>
      <c r="E31" s="33"/>
    </row>
    <row r="32" spans="2:5" x14ac:dyDescent="0.25">
      <c r="B32" s="63" t="str">
        <f>IF(Gesamtprojekt!B35="","",Gesamtprojekt!B35)</f>
        <v/>
      </c>
      <c r="C32" s="64" t="str">
        <f>IF(Gesamtprojekt!C35="","",Gesamtprojekt!C35)</f>
        <v/>
      </c>
      <c r="D32" s="41"/>
      <c r="E32" s="33"/>
    </row>
    <row r="33" spans="2:5" x14ac:dyDescent="0.25">
      <c r="B33" s="63" t="str">
        <f>IF(Gesamtprojekt!B36="","",Gesamtprojekt!B36)</f>
        <v/>
      </c>
      <c r="C33" s="64" t="str">
        <f>IF(Gesamtprojekt!C36="","",Gesamtprojekt!C36)</f>
        <v/>
      </c>
      <c r="D33" s="41"/>
      <c r="E33" s="33"/>
    </row>
    <row r="34" spans="2:5" x14ac:dyDescent="0.25">
      <c r="B34" s="63" t="str">
        <f>IF(Gesamtprojekt!B37="","",Gesamtprojekt!B37)</f>
        <v/>
      </c>
      <c r="C34" s="64" t="str">
        <f>IF(Gesamtprojekt!C37="","",Gesamtprojekt!C37)</f>
        <v/>
      </c>
      <c r="D34" s="41"/>
      <c r="E34" s="33"/>
    </row>
    <row r="35" spans="2:5" x14ac:dyDescent="0.25">
      <c r="B35" s="63" t="str">
        <f>IF(Gesamtprojekt!B38="","",Gesamtprojekt!B38)</f>
        <v/>
      </c>
      <c r="C35" s="64" t="str">
        <f>IF(Gesamtprojekt!C38="","",Gesamtprojekt!C38)</f>
        <v/>
      </c>
      <c r="D35" s="41"/>
      <c r="E35" s="33"/>
    </row>
    <row r="36" spans="2:5" x14ac:dyDescent="0.25">
      <c r="B36" s="63" t="str">
        <f>IF(Gesamtprojekt!B39="","",Gesamtprojekt!B39)</f>
        <v/>
      </c>
      <c r="C36" s="64" t="str">
        <f>IF(Gesamtprojekt!C39="","",Gesamtprojekt!C39)</f>
        <v/>
      </c>
      <c r="D36" s="41"/>
      <c r="E36" s="33"/>
    </row>
    <row r="37" spans="2:5" x14ac:dyDescent="0.25">
      <c r="B37" s="63" t="str">
        <f>IF(Gesamtprojekt!B40="","",Gesamtprojekt!B40)</f>
        <v/>
      </c>
      <c r="C37" s="64" t="str">
        <f>IF(Gesamtprojekt!C40="","",Gesamtprojekt!C40)</f>
        <v/>
      </c>
      <c r="D37" s="41"/>
      <c r="E37" s="33"/>
    </row>
    <row r="38" spans="2:5" x14ac:dyDescent="0.25">
      <c r="B38" s="63" t="str">
        <f>IF(Gesamtprojekt!B41="","",Gesamtprojekt!B41)</f>
        <v/>
      </c>
      <c r="C38" s="64" t="str">
        <f>IF(Gesamtprojekt!C41="","",Gesamtprojekt!C41)</f>
        <v/>
      </c>
      <c r="D38" s="41"/>
      <c r="E38" s="33"/>
    </row>
    <row r="39" spans="2:5" x14ac:dyDescent="0.25">
      <c r="B39" s="63" t="str">
        <f>IF(Gesamtprojekt!B42="","",Gesamtprojekt!B42)</f>
        <v/>
      </c>
      <c r="C39" s="64" t="str">
        <f>IF(Gesamtprojekt!C42="","",Gesamtprojekt!C42)</f>
        <v/>
      </c>
      <c r="D39" s="41"/>
      <c r="E39" s="33"/>
    </row>
    <row r="40" spans="2:5" x14ac:dyDescent="0.25">
      <c r="B40" s="63" t="str">
        <f>IF(Gesamtprojekt!B43="","",Gesamtprojekt!B43)</f>
        <v/>
      </c>
      <c r="C40" s="64" t="str">
        <f>IF(Gesamtprojekt!C43="","",Gesamtprojekt!C43)</f>
        <v/>
      </c>
      <c r="D40" s="41"/>
      <c r="E40" s="33"/>
    </row>
    <row r="41" spans="2:5" x14ac:dyDescent="0.25">
      <c r="B41" s="63" t="str">
        <f>IF(Gesamtprojekt!B44="","",Gesamtprojekt!B44)</f>
        <v/>
      </c>
      <c r="C41" s="64" t="str">
        <f>IF(Gesamtprojekt!C44="","",Gesamtprojekt!C44)</f>
        <v/>
      </c>
      <c r="D41" s="41"/>
      <c r="E41" s="33"/>
    </row>
    <row r="42" spans="2:5" x14ac:dyDescent="0.25">
      <c r="B42" s="63" t="str">
        <f>IF(Gesamtprojekt!B45="","",Gesamtprojekt!B45)</f>
        <v/>
      </c>
      <c r="C42" s="64" t="str">
        <f>IF(Gesamtprojekt!C45="","",Gesamtprojekt!C45)</f>
        <v/>
      </c>
      <c r="D42" s="41"/>
      <c r="E42" s="33"/>
    </row>
    <row r="43" spans="2:5" x14ac:dyDescent="0.25">
      <c r="B43" s="63" t="str">
        <f>IF(Gesamtprojekt!B46="","",Gesamtprojekt!B46)</f>
        <v/>
      </c>
      <c r="C43" s="64" t="str">
        <f>IF(Gesamtprojekt!C46="","",Gesamtprojekt!C46)</f>
        <v/>
      </c>
      <c r="D43" s="41"/>
      <c r="E43" s="33"/>
    </row>
    <row r="44" spans="2:5" x14ac:dyDescent="0.25">
      <c r="B44" s="63" t="str">
        <f>IF(Gesamtprojekt!B47="","",Gesamtprojekt!B47)</f>
        <v/>
      </c>
      <c r="C44" s="64" t="str">
        <f>IF(Gesamtprojekt!C47="","",Gesamtprojekt!C47)</f>
        <v/>
      </c>
      <c r="D44" s="41"/>
      <c r="E44" s="33"/>
    </row>
    <row r="45" spans="2:5" x14ac:dyDescent="0.25">
      <c r="B45" s="65" t="str">
        <f>IF(Gesamtprojekt!B48="","",Gesamtprojekt!B48)</f>
        <v/>
      </c>
      <c r="C45" s="66" t="str">
        <f>IF(Gesamtprojekt!C48="","",Gesamtprojekt!C48)</f>
        <v/>
      </c>
      <c r="D45" s="42"/>
      <c r="E45" s="34"/>
    </row>
    <row r="46" spans="2:5" x14ac:dyDescent="0.25">
      <c r="D46" s="36">
        <f>SUM(D9:D45)</f>
        <v>32</v>
      </c>
    </row>
  </sheetData>
  <pageMargins left="0.7" right="0.7" top="0.78740157499999996" bottom="0.78740157499999996" header="0.3" footer="0.3"/>
  <pageSetup paperSize="9" scale="5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Anleitung</vt:lpstr>
      <vt:lpstr>Übersicht</vt:lpstr>
      <vt:lpstr>Gesamtprojekt</vt:lpstr>
      <vt:lpstr>201801</vt:lpstr>
      <vt:lpstr>'201801'!Druckbereich</vt:lpstr>
      <vt:lpstr>Anleitung!Druckbereich</vt:lpstr>
      <vt:lpstr>Gesamtprojekt!Druckbereich</vt:lpstr>
      <vt:lpstr>Übersicht!Druckbereich</vt:lpstr>
      <vt:lpstr>Druckbereich1</vt:lpstr>
      <vt:lpstr>Druckbereich3</vt:lpstr>
      <vt:lpstr>Druckbereich4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Mandy Hauck</dc:creator>
  <cp:lastModifiedBy>Mandy Hauck</cp:lastModifiedBy>
  <cp:lastPrinted>2018-06-26T06:51:28Z</cp:lastPrinted>
  <dcterms:created xsi:type="dcterms:W3CDTF">2018-06-06T14:23:35Z</dcterms:created>
  <dcterms:modified xsi:type="dcterms:W3CDTF">2018-07-04T11:32:34Z</dcterms:modified>
</cp:coreProperties>
</file>